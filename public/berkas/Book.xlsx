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C:\Users\daffa\Downloads\"/>
    </mc:Choice>
  </mc:AlternateContent>
  <xr:revisionPtr revIDLastSave="0" documentId="8_{1958C4CE-2C4F-4D52-97BD-EF5765BEE0A6}" xr6:coauthVersionLast="47" xr6:coauthVersionMax="47" xr10:uidLastSave="{00000000-0000-0000-0000-000000000000}"/>
  <bookViews>
    <workbookView xWindow="-103" yWindow="-103" windowWidth="22149" windowHeight="13200" xr2:uid="{484B03DA-B3BA-4877-A8F9-04E5702AA6E6}"/>
  </bookViews>
  <sheets>
    <sheet name="RUMUSAN" sheetId="1" r:id="rId1"/>
  </sheets>
  <externalReferences>
    <externalReference r:id="rId2"/>
  </externalReferences>
  <definedNames>
    <definedName name="ada">'[1]INPUTAN DESA 2026'!$H$112</definedName>
    <definedName name="adaangkot">'[1]ISU DESA dan PERDESAAN 26'!$H$995:$H$997</definedName>
    <definedName name="adatidak">'[1]INPUTAN DESA 2026'!$H$112:$H$113</definedName>
    <definedName name="ae">'[1]INPUTAN DESA 2026'!$H$415:$H$419</definedName>
    <definedName name="agama">'[1]ISU DESA dan PERDESAAN 26'!$H$693:$H$699</definedName>
    <definedName name="aktiftidak">'[1]ISU DESA dan PERDESAAN 26'!$H$534:$H$535</definedName>
    <definedName name="anggaran">'[1]ISU DESA dan PERDESAAN 26'!$I$1422:$I$1426</definedName>
    <definedName name="belum">'[1]ISU DESA dan PERDESAAN 26'!$H$663</definedName>
    <definedName name="belumada">'[1]Tambahan 2026'!$H$9</definedName>
    <definedName name="bencana">'[1]INPUTAN DESA 2026'!$I$506:$I$522</definedName>
    <definedName name="biayainternet">'[1]ISU DESA dan PERDESAAN 26'!$H$667:$H$671</definedName>
    <definedName name="bidan">'[1]INPUTAN DESA 2026'!$H$275:$H$276</definedName>
    <definedName name="buah">'[1]ISU DESA dan PERDESAAN 26'!$I$822:$I$854</definedName>
    <definedName name="buahdom">'[1]ISU DESA dan PERDESAAN 26'!$I$823:$I$854</definedName>
    <definedName name="bukanperingkatbumdes">'[1]Tambahan 2026'!$H$21</definedName>
    <definedName name="bumdes">'[1]ISU DESA dan PERDESAAN 26'!$I$1245:$I$1247</definedName>
    <definedName name="danaposyandu">'[1]ISU DESA dan PERDESAAN 26'!$H$524:$H$527</definedName>
    <definedName name="diisi">'[1]INPUTAN DESA 2026'!$H$54:$H$55</definedName>
    <definedName name="domestikekspor">'[1]ISU DESA dan PERDESAAN 26'!$H$411:$H$412</definedName>
    <definedName name="duaempat">'[1]ISU DESA dan PERDESAAN 26'!$H$996:$H$998</definedName>
    <definedName name="duaempatlima">'[1]INPUTAN DESA 2026'!$H$563:$H$565</definedName>
    <definedName name="dualima">'[1]ISU DESA dan PERDESAAN 26'!$H$996:$H$999</definedName>
    <definedName name="f">'[1]INPUTAN DESA 2026'!$H$420</definedName>
    <definedName name="garam">'[1]ISU DESA dan PERDESAAN 26'!$H$461:$H$466</definedName>
    <definedName name="hutan">'[1]Tambahan 2026'!$H$38:$H$39</definedName>
    <definedName name="internet">'[1]ISU DESA dan PERDESAAN 26'!$H$615:$H$618</definedName>
    <definedName name="jabataninforman">'[1]INPUTAN DESA 2026'!$H$22:$H$30</definedName>
    <definedName name="jalanbesar">'[1]INPUTAN DESA 2026'!$H$531:$H$534</definedName>
    <definedName name="jalanwisata">'[1]ISU DESA dan PERDESAAN 26'!$H$186:$H$189</definedName>
    <definedName name="jamban">'[1]ISU DESA dan PERDESAAN 26'!$H$589:$H$591</definedName>
    <definedName name="jambansendiri">'[1]ISU DESA dan PERDESAAN 26'!$H$588</definedName>
    <definedName name="jarakwisata">'[1]ISU DESA dan PERDESAAN 26'!$H$182:$H$184</definedName>
    <definedName name="jaringan">'[1]ISU DESA dan PERDESAAN 26'!$H$649:$H$660</definedName>
    <definedName name="jembatan">'[1]ISU DESA dan PERDESAAN 26'!$H$1364:$H$1366</definedName>
    <definedName name="jenisprogram">'[1]ISU DESA dan PERDESAAN 26'!$I$1418:$I$1420</definedName>
    <definedName name="jenisprogram1">'[1]ISU DESA dan PERDESAAN 26'!$I$1419:$I$1420</definedName>
    <definedName name="k5ratus">'[1]ISU DESA dan PERDESAAN 26'!$H$190:$H$192</definedName>
    <definedName name="Kades">'[1]INPUTAN DESA 2026'!$H$32:$H$33</definedName>
    <definedName name="kebun">'[1]ISU DESA dan PERDESAAN 26'!$H$331:$H$338</definedName>
    <definedName name="kejahatan">'[1]ISU DESA dan PERDESAAN 26'!$H$736:$H$744</definedName>
    <definedName name="kelamin">'[1]INPUTAN DESA 2026'!$H$19:$H$20</definedName>
    <definedName name="kelolawisata">'[1]ISU DESA dan PERDESAAN 26'!$H$170:$H$178</definedName>
    <definedName name="kl">'[1]ISU DESA dan PERDESAAN 26'!$I$1428:$I$1472</definedName>
    <definedName name="kopdes">'[1]Tambahan 2026'!$H$5:$H$7</definedName>
    <definedName name="kosong">'[1]INPUTAN DESA 2026'!$H$15</definedName>
    <definedName name="kuat">'[1]INPUTAN DESA 2026'!$H$564:$H$565</definedName>
    <definedName name="L5ratus">'[1]ISU DESA dan PERDESAAN 26'!$H$190:$H$195</definedName>
    <definedName name="lemah">'[1]INPUTAN DESA 2026'!$H$562:$H$564</definedName>
    <definedName name="limadua">'[1]INPUTAN DESA 2026'!$H$242:$H$245</definedName>
    <definedName name="luarhutan">'[1]Tambahan 2026'!$H$40:$H$41</definedName>
    <definedName name="mitra">'[1]ISU DESA dan PERDESAAN 26'!$I$1245:$I$1246</definedName>
    <definedName name="nol">'[1]ISU DESA dan PERDESAAN 26'!$H$75</definedName>
    <definedName name="nollima">'[1]ISU DESA dan PERDESAAN 26'!$H$109:$H$114</definedName>
    <definedName name="nonpln">'[1]ISU DESA dan PERDESAAN 26'!$H$632:$H$634</definedName>
    <definedName name="obat">'[1]ISU DESA dan PERDESAAN 26'!$I$939:$I$960</definedName>
    <definedName name="obatdom">'[1]ISU DESA dan PERDESAAN 26'!$I$940:$I$960</definedName>
    <definedName name="optimal">'[1]ISU DESA dan PERDESAAN 26'!$H$100:$H$102</definedName>
    <definedName name="pangan">'[1]ISU DESA dan PERDESAAN 26'!$I$781:$I$800</definedName>
    <definedName name="pangandom">'[1]ISU DESA dan PERDESAAN 26'!$I$782:$I$800</definedName>
    <definedName name="paud">'[1]INPUTAN DESA 2026'!$H$165:$H$167</definedName>
    <definedName name="paudpemerintah">'[1]INPUTAN DESA 2026'!$H$170:$H$172</definedName>
    <definedName name="paudpemerintahswasta">'[1]INPUTAN DESA 2026'!$H$163:$H$164</definedName>
    <definedName name="pedagang">'[1]ISU DESA dan PERDESAAN 26'!$H$1050:$H$1053</definedName>
    <definedName name="Pemuda">'[1]ISU DESA dan PERDESAAN 26'!$H$63:$H$69</definedName>
    <definedName name="pendampingan">'[1]ISU DESA dan PERDESAAN 26'!$H$94:$H$98</definedName>
    <definedName name="penyedia">'[1]INPUTAN DESA 2026'!$H$186:$H$191</definedName>
    <definedName name="perangkatdesa">'[1]INPUTAN DESA 2026'!$H$11:$H$14</definedName>
    <definedName name="peringkatbumdes">'[1]Tambahan 2026'!$H$21:$H$25</definedName>
    <definedName name="periodekades">'[1]ISU DESA dan PERDESAAN 26'!$H$9:$H$11</definedName>
    <definedName name="pustu">'[1]INPUTAN DESA 2026'!$H$233:$H$234</definedName>
    <definedName name="pustutidakaktif">'[1]INPUTAN DESA 2026'!$H$233</definedName>
    <definedName name="rumah">'[1]ISU DESA dan PERDESAAN 26'!$H$677:$H$679</definedName>
    <definedName name="satu">'[1]ISU DESA dan PERDESAAN 26'!$H$76</definedName>
    <definedName name="satudanlima">'[1]INPUTAN DESA 2026'!$H$256:$H$257</definedName>
    <definedName name="satudua">'[1]ISU DESA dan PERDESAAN 26'!$H$105:$H$106</definedName>
    <definedName name="satuenam">'[1]ISU DESA dan PERDESAAN 26'!$H$995:$H$1000</definedName>
    <definedName name="satulebihdua">'[1]ISU DESA dan PERDESAAN 26'!$H$104:$H$107</definedName>
    <definedName name="satulima">'[1]ISU DESA dan PERDESAAN 26'!$H$76:$H$80</definedName>
    <definedName name="satutigalima">'[1]INPUTAN DESA 2026'!$H$260:$H$262</definedName>
    <definedName name="satutujuh">'[1]ISU DESA dan PERDESAAN 26'!$H$995:$H$1001</definedName>
    <definedName name="sayur">'[1]ISU DESA dan PERDESAAN 26'!$I$890:$I$913</definedName>
    <definedName name="sayurdom">'[1]ISU DESA dan PERDESAAN 26'!$I$891:$I$913</definedName>
    <definedName name="sediasarkes">'[1]INPUTAN DESA 2026'!$H$268:$H$273</definedName>
    <definedName name="SHU">'[1]Tambahan 2026'!$H$9:$H$14</definedName>
    <definedName name="sosialisasitik">'[1]ISU DESA dan PERDESAAN 26'!$H$665:$H$666</definedName>
    <definedName name="strip">'[1]INPUTAN DESA 2026'!$H$10</definedName>
    <definedName name="sudahbelum">'[1]ISU DESA dan PERDESAAN 26'!$H$662:$H$663</definedName>
    <definedName name="swastamasyarakat">'[1]INPUTAN DESA 2026'!$H$166:$H$168</definedName>
    <definedName name="tamatpendidikan">'[1]ISU DESA dan PERDESAAN 26'!$H$109:$H$117</definedName>
    <definedName name="tambang">'[1]ISU DESA dan PERDESAAN 26'!$H$339:$H$346</definedName>
    <definedName name="tanggal">'[1]INPUTAN DESA 2026'!$H$34:$H$46</definedName>
    <definedName name="tidakada">'[1]INPUTAN DESA 2026'!$H$113</definedName>
    <definedName name="tidakaktif">'[1]ISU DESA dan PERDESAAN 26'!$H$535</definedName>
    <definedName name="tidakdiisi">'[1]INPUTAN DESA 2026'!$H$55</definedName>
    <definedName name="tiga">'[1]INPUTAN DESA 2026'!$H$542</definedName>
    <definedName name="tigalima">'[1]INPUTAN DESA 2026'!$H$332:$H$333</definedName>
    <definedName name="titik">'[1]ISU DESA dan PERDESAAN 26'!$H$644:$H$647</definedName>
    <definedName name="tradisional">'[1]ISU DESA dan PERDESAAN 26'!$H$452:$H$454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97" i="1" l="1"/>
  <c r="F197" i="1" s="1"/>
  <c r="D196" i="1"/>
  <c r="F196" i="1" s="1"/>
  <c r="D195" i="1"/>
  <c r="F195" i="1" s="1"/>
  <c r="F194" i="1"/>
  <c r="D194" i="1"/>
  <c r="E194" i="1" s="1"/>
  <c r="D193" i="1"/>
  <c r="F193" i="1" s="1"/>
  <c r="D192" i="1"/>
  <c r="E192" i="1" s="1"/>
  <c r="D191" i="1"/>
  <c r="D190" i="1"/>
  <c r="F190" i="1" s="1"/>
  <c r="E189" i="1"/>
  <c r="D189" i="1"/>
  <c r="F189" i="1" s="1"/>
  <c r="F188" i="1"/>
  <c r="E188" i="1"/>
  <c r="D188" i="1"/>
  <c r="D185" i="1"/>
  <c r="E185" i="1" s="1"/>
  <c r="F184" i="1"/>
  <c r="D184" i="1"/>
  <c r="E184" i="1" s="1"/>
  <c r="D182" i="1"/>
  <c r="E182" i="1" s="1"/>
  <c r="D181" i="1"/>
  <c r="F181" i="1" s="1"/>
  <c r="D180" i="1"/>
  <c r="D178" i="1" s="1"/>
  <c r="E179" i="1"/>
  <c r="D179" i="1"/>
  <c r="F179" i="1" s="1"/>
  <c r="F177" i="1"/>
  <c r="D177" i="1"/>
  <c r="E177" i="1" s="1"/>
  <c r="D176" i="1"/>
  <c r="F173" i="1"/>
  <c r="E173" i="1"/>
  <c r="D173" i="1"/>
  <c r="D172" i="1"/>
  <c r="F172" i="1" s="1"/>
  <c r="D171" i="1"/>
  <c r="D170" i="1"/>
  <c r="F170" i="1" s="1"/>
  <c r="D169" i="1"/>
  <c r="F169" i="1" s="1"/>
  <c r="D168" i="1"/>
  <c r="D164" i="1" s="1"/>
  <c r="E167" i="1"/>
  <c r="D167" i="1"/>
  <c r="F167" i="1" s="1"/>
  <c r="F166" i="1"/>
  <c r="E166" i="1"/>
  <c r="D166" i="1"/>
  <c r="D165" i="1"/>
  <c r="D163" i="1"/>
  <c r="E163" i="1" s="1"/>
  <c r="F162" i="1"/>
  <c r="D162" i="1"/>
  <c r="E162" i="1" s="1"/>
  <c r="D160" i="1"/>
  <c r="E160" i="1" s="1"/>
  <c r="D159" i="1"/>
  <c r="F159" i="1" s="1"/>
  <c r="D158" i="1"/>
  <c r="E155" i="1"/>
  <c r="D155" i="1"/>
  <c r="F155" i="1" s="1"/>
  <c r="F154" i="1"/>
  <c r="E154" i="1"/>
  <c r="D154" i="1"/>
  <c r="D153" i="1"/>
  <c r="E153" i="1" s="1"/>
  <c r="D152" i="1"/>
  <c r="F152" i="1" s="1"/>
  <c r="D151" i="1"/>
  <c r="F151" i="1" s="1"/>
  <c r="D150" i="1"/>
  <c r="D149" i="1"/>
  <c r="D148" i="1"/>
  <c r="E148" i="1" s="1"/>
  <c r="D147" i="1"/>
  <c r="D143" i="1" s="1"/>
  <c r="F146" i="1"/>
  <c r="D146" i="1"/>
  <c r="E146" i="1" s="1"/>
  <c r="D145" i="1"/>
  <c r="F145" i="1" s="1"/>
  <c r="D144" i="1"/>
  <c r="F144" i="1" s="1"/>
  <c r="D142" i="1"/>
  <c r="E142" i="1" s="1"/>
  <c r="D140" i="1"/>
  <c r="F140" i="1" s="1"/>
  <c r="D139" i="1"/>
  <c r="E139" i="1" s="1"/>
  <c r="D138" i="1"/>
  <c r="F138" i="1" s="1"/>
  <c r="D137" i="1"/>
  <c r="F136" i="1"/>
  <c r="D136" i="1"/>
  <c r="E136" i="1" s="1"/>
  <c r="D135" i="1"/>
  <c r="F135" i="1" s="1"/>
  <c r="D134" i="1"/>
  <c r="F134" i="1" s="1"/>
  <c r="D133" i="1"/>
  <c r="E133" i="1" s="1"/>
  <c r="D132" i="1"/>
  <c r="D129" i="1"/>
  <c r="F129" i="1" s="1"/>
  <c r="D128" i="1"/>
  <c r="E128" i="1" s="1"/>
  <c r="D127" i="1"/>
  <c r="E127" i="1" s="1"/>
  <c r="F126" i="1"/>
  <c r="D126" i="1"/>
  <c r="E126" i="1" s="1"/>
  <c r="D125" i="1"/>
  <c r="F125" i="1" s="1"/>
  <c r="D124" i="1"/>
  <c r="F124" i="1" s="1"/>
  <c r="D122" i="1"/>
  <c r="F122" i="1" s="1"/>
  <c r="D121" i="1"/>
  <c r="F121" i="1" s="1"/>
  <c r="D120" i="1"/>
  <c r="E120" i="1" s="1"/>
  <c r="D119" i="1"/>
  <c r="F119" i="1" s="1"/>
  <c r="D118" i="1"/>
  <c r="D116" i="1" s="1"/>
  <c r="E117" i="1"/>
  <c r="D117" i="1"/>
  <c r="F117" i="1" s="1"/>
  <c r="F115" i="1"/>
  <c r="D115" i="1"/>
  <c r="E115" i="1" s="1"/>
  <c r="D114" i="1"/>
  <c r="E114" i="1" s="1"/>
  <c r="D113" i="1"/>
  <c r="F112" i="1"/>
  <c r="D112" i="1"/>
  <c r="E112" i="1" s="1"/>
  <c r="D111" i="1"/>
  <c r="F111" i="1" s="1"/>
  <c r="D110" i="1"/>
  <c r="D109" i="1"/>
  <c r="E109" i="1" s="1"/>
  <c r="D108" i="1"/>
  <c r="D107" i="1" s="1"/>
  <c r="D106" i="1"/>
  <c r="F106" i="1" s="1"/>
  <c r="F105" i="1"/>
  <c r="D105" i="1"/>
  <c r="E105" i="1" s="1"/>
  <c r="D104" i="1"/>
  <c r="D103" i="1"/>
  <c r="E103" i="1" s="1"/>
  <c r="F102" i="1"/>
  <c r="D102" i="1"/>
  <c r="E102" i="1" s="1"/>
  <c r="D101" i="1"/>
  <c r="D100" i="1"/>
  <c r="E100" i="1" s="1"/>
  <c r="D99" i="1"/>
  <c r="F99" i="1" s="1"/>
  <c r="D98" i="1"/>
  <c r="F96" i="1"/>
  <c r="D96" i="1"/>
  <c r="E96" i="1" s="1"/>
  <c r="D95" i="1"/>
  <c r="F95" i="1" s="1"/>
  <c r="D93" i="1"/>
  <c r="E93" i="1" s="1"/>
  <c r="D92" i="1"/>
  <c r="F91" i="1"/>
  <c r="E91" i="1"/>
  <c r="D91" i="1"/>
  <c r="D90" i="1"/>
  <c r="F90" i="1" s="1"/>
  <c r="D89" i="1"/>
  <c r="F89" i="1" s="1"/>
  <c r="D88" i="1"/>
  <c r="D87" i="1"/>
  <c r="F87" i="1" s="1"/>
  <c r="F86" i="1"/>
  <c r="D86" i="1"/>
  <c r="E86" i="1" s="1"/>
  <c r="D82" i="1"/>
  <c r="F82" i="1" s="1"/>
  <c r="D81" i="1"/>
  <c r="D80" i="1"/>
  <c r="F80" i="1" s="1"/>
  <c r="D78" i="1"/>
  <c r="F78" i="1" s="1"/>
  <c r="D77" i="1"/>
  <c r="F77" i="1" s="1"/>
  <c r="D76" i="1"/>
  <c r="D74" i="1"/>
  <c r="E74" i="1" s="1"/>
  <c r="E73" i="1"/>
  <c r="D73" i="1"/>
  <c r="F73" i="1" s="1"/>
  <c r="F71" i="1"/>
  <c r="D71" i="1"/>
  <c r="E71" i="1" s="1"/>
  <c r="D70" i="1"/>
  <c r="E70" i="1" s="1"/>
  <c r="F69" i="1"/>
  <c r="E69" i="1"/>
  <c r="D69" i="1"/>
  <c r="D68" i="1"/>
  <c r="F68" i="1" s="1"/>
  <c r="D67" i="1"/>
  <c r="F67" i="1" s="1"/>
  <c r="D66" i="1"/>
  <c r="D65" i="1"/>
  <c r="F65" i="1" s="1"/>
  <c r="D64" i="1"/>
  <c r="E63" i="1"/>
  <c r="D63" i="1"/>
  <c r="F63" i="1" s="1"/>
  <c r="F62" i="1"/>
  <c r="E62" i="1"/>
  <c r="D62" i="1"/>
  <c r="D61" i="1"/>
  <c r="E61" i="1" s="1"/>
  <c r="D60" i="1"/>
  <c r="F59" i="1"/>
  <c r="E59" i="1"/>
  <c r="D59" i="1"/>
  <c r="D58" i="1"/>
  <c r="F58" i="1" s="1"/>
  <c r="D57" i="1"/>
  <c r="D54" i="1"/>
  <c r="F54" i="1" s="1"/>
  <c r="D53" i="1"/>
  <c r="F52" i="1"/>
  <c r="D52" i="1"/>
  <c r="E52" i="1" s="1"/>
  <c r="D51" i="1"/>
  <c r="F51" i="1" s="1"/>
  <c r="D50" i="1"/>
  <c r="F50" i="1" s="1"/>
  <c r="D49" i="1"/>
  <c r="E49" i="1" s="1"/>
  <c r="D48" i="1"/>
  <c r="D47" i="1" s="1"/>
  <c r="D46" i="1"/>
  <c r="F46" i="1" s="1"/>
  <c r="D45" i="1"/>
  <c r="E45" i="1" s="1"/>
  <c r="D44" i="1"/>
  <c r="D43" i="1"/>
  <c r="D39" i="1" s="1"/>
  <c r="F42" i="1"/>
  <c r="D42" i="1"/>
  <c r="E42" i="1" s="1"/>
  <c r="D41" i="1"/>
  <c r="F41" i="1" s="1"/>
  <c r="D40" i="1"/>
  <c r="F40" i="1" s="1"/>
  <c r="D38" i="1"/>
  <c r="F38" i="1" s="1"/>
  <c r="D37" i="1"/>
  <c r="F37" i="1" s="1"/>
  <c r="D36" i="1"/>
  <c r="E36" i="1" s="1"/>
  <c r="D35" i="1"/>
  <c r="E35" i="1" s="1"/>
  <c r="D34" i="1"/>
  <c r="F33" i="1"/>
  <c r="E33" i="1"/>
  <c r="D33" i="1"/>
  <c r="D32" i="1"/>
  <c r="F32" i="1" s="1"/>
  <c r="D31" i="1"/>
  <c r="F31" i="1" s="1"/>
  <c r="D30" i="1"/>
  <c r="F30" i="1" s="1"/>
  <c r="D29" i="1"/>
  <c r="F28" i="1"/>
  <c r="D28" i="1"/>
  <c r="E28" i="1" s="1"/>
  <c r="D27" i="1"/>
  <c r="F27" i="1" s="1"/>
  <c r="D26" i="1"/>
  <c r="E26" i="1" s="1"/>
  <c r="D25" i="1"/>
  <c r="D24" i="1"/>
  <c r="F24" i="1" s="1"/>
  <c r="E23" i="1"/>
  <c r="D23" i="1"/>
  <c r="F23" i="1" s="1"/>
  <c r="D21" i="1"/>
  <c r="F21" i="1" s="1"/>
  <c r="D20" i="1"/>
  <c r="D18" i="1"/>
  <c r="F18" i="1" s="1"/>
  <c r="D17" i="1"/>
  <c r="F17" i="1" s="1"/>
  <c r="D16" i="1"/>
  <c r="D15" i="1"/>
  <c r="F15" i="1" s="1"/>
  <c r="D14" i="1"/>
  <c r="E14" i="1" s="1"/>
  <c r="D13" i="1"/>
  <c r="F12" i="1"/>
  <c r="D12" i="1"/>
  <c r="E12" i="1" s="1"/>
  <c r="D11" i="1"/>
  <c r="F11" i="1" s="1"/>
  <c r="D9" i="1"/>
  <c r="E9" i="1" s="1"/>
  <c r="D8" i="1"/>
  <c r="E8" i="1" s="1"/>
  <c r="D7" i="1"/>
  <c r="F7" i="1" s="1"/>
  <c r="D6" i="1"/>
  <c r="F14" i="1" l="1"/>
  <c r="E99" i="1"/>
  <c r="E159" i="1"/>
  <c r="F35" i="1"/>
  <c r="E170" i="1"/>
  <c r="F26" i="1"/>
  <c r="E67" i="1"/>
  <c r="F128" i="1"/>
  <c r="F192" i="1"/>
  <c r="F45" i="1"/>
  <c r="F139" i="1"/>
  <c r="E27" i="1"/>
  <c r="F36" i="1"/>
  <c r="F100" i="1"/>
  <c r="E111" i="1"/>
  <c r="F120" i="1"/>
  <c r="E129" i="1"/>
  <c r="F160" i="1"/>
  <c r="F182" i="1"/>
  <c r="E193" i="1"/>
  <c r="E46" i="1"/>
  <c r="E58" i="1"/>
  <c r="E68" i="1"/>
  <c r="E78" i="1"/>
  <c r="E90" i="1"/>
  <c r="E140" i="1"/>
  <c r="D161" i="1"/>
  <c r="D157" i="1" s="1"/>
  <c r="D156" i="1" s="1"/>
  <c r="E172" i="1"/>
  <c r="D183" i="1"/>
  <c r="D175" i="1" s="1"/>
  <c r="D174" i="1" s="1"/>
  <c r="E7" i="1"/>
  <c r="E17" i="1"/>
  <c r="E37" i="1"/>
  <c r="E121" i="1"/>
  <c r="E151" i="1"/>
  <c r="D79" i="1"/>
  <c r="D75" i="1" s="1"/>
  <c r="D141" i="1"/>
  <c r="D131" i="1" s="1"/>
  <c r="D130" i="1" s="1"/>
  <c r="E24" i="1"/>
  <c r="F108" i="1"/>
  <c r="F180" i="1"/>
  <c r="E54" i="1"/>
  <c r="F109" i="1"/>
  <c r="E89" i="1"/>
  <c r="F148" i="1"/>
  <c r="E80" i="1"/>
  <c r="E40" i="1"/>
  <c r="E50" i="1"/>
  <c r="F61" i="1"/>
  <c r="E82" i="1"/>
  <c r="F93" i="1"/>
  <c r="E124" i="1"/>
  <c r="E134" i="1"/>
  <c r="E144" i="1"/>
  <c r="F153" i="1"/>
  <c r="D187" i="1"/>
  <c r="D186" i="1" s="1"/>
  <c r="E196" i="1"/>
  <c r="D10" i="1"/>
  <c r="D5" i="1" s="1"/>
  <c r="E21" i="1"/>
  <c r="E31" i="1"/>
  <c r="D94" i="1"/>
  <c r="E190" i="1"/>
  <c r="E65" i="1"/>
  <c r="E147" i="1"/>
  <c r="E138" i="1"/>
  <c r="E119" i="1"/>
  <c r="E181" i="1"/>
  <c r="E15" i="1"/>
  <c r="E77" i="1"/>
  <c r="E41" i="1"/>
  <c r="E125" i="1"/>
  <c r="E197" i="1"/>
  <c r="E118" i="1"/>
  <c r="E180" i="1"/>
  <c r="E43" i="1"/>
  <c r="F74" i="1"/>
  <c r="F118" i="1"/>
  <c r="E169" i="1"/>
  <c r="F127" i="1"/>
  <c r="E18" i="1"/>
  <c r="E38" i="1"/>
  <c r="F8" i="1"/>
  <c r="F142" i="1"/>
  <c r="E195" i="1"/>
  <c r="E30" i="1"/>
  <c r="D123" i="1"/>
  <c r="D97" i="1" s="1"/>
  <c r="F185" i="1"/>
  <c r="F70" i="1"/>
  <c r="F114" i="1"/>
  <c r="E11" i="1"/>
  <c r="D22" i="1"/>
  <c r="D19" i="1" s="1"/>
  <c r="E51" i="1"/>
  <c r="D72" i="1"/>
  <c r="D56" i="1" s="1"/>
  <c r="D55" i="1" s="1"/>
  <c r="E95" i="1"/>
  <c r="E135" i="1"/>
  <c r="E145" i="1"/>
  <c r="E32" i="1"/>
  <c r="D85" i="1"/>
  <c r="E106" i="1"/>
  <c r="E108" i="1"/>
  <c r="E87" i="1"/>
  <c r="F43" i="1"/>
  <c r="E122" i="1"/>
  <c r="E152" i="1"/>
  <c r="F49" i="1"/>
  <c r="F103" i="1"/>
  <c r="F133" i="1"/>
  <c r="F163" i="1"/>
  <c r="F9" i="1"/>
  <c r="F147" i="1"/>
  <c r="D4" i="1" l="1"/>
  <c r="D84" i="1"/>
  <c r="D83" i="1" s="1"/>
  <c r="E199" i="1" l="1"/>
  <c r="E200" i="1" s="1"/>
</calcChain>
</file>

<file path=xl/sharedStrings.xml><?xml version="1.0" encoding="utf-8"?>
<sst xmlns="http://schemas.openxmlformats.org/spreadsheetml/2006/main" count="1106" uniqueCount="570">
  <si>
    <t>NO</t>
  </si>
  <si>
    <t>PERTANYAAN</t>
  </si>
  <si>
    <t>SKOR</t>
  </si>
  <si>
    <t>HASIL PENDATAAN INDEKS DESA</t>
  </si>
  <si>
    <t>INTERVENSI KEGIATAN (SESUAI PERMENDES 7 TAHUN 2023)</t>
  </si>
  <si>
    <t>KODE REKENING</t>
  </si>
  <si>
    <t>PELAKSANA KEGIATAN</t>
  </si>
  <si>
    <t>PUSAT</t>
  </si>
  <si>
    <t>PROVINSI</t>
  </si>
  <si>
    <t>KABUPATEN</t>
  </si>
  <si>
    <t>DESA</t>
  </si>
  <si>
    <t>Lainnya</t>
  </si>
  <si>
    <t>LAYANAN DASAR</t>
  </si>
  <si>
    <t>1.A</t>
  </si>
  <si>
    <t>SUB-DIMENSI PENDIDIKAN</t>
  </si>
  <si>
    <t>AKSES TERHADAP PAUD/TK/Sederajat</t>
  </si>
  <si>
    <t>a</t>
  </si>
  <si>
    <t>SKOR Keberadaan PAUD/TK/Sederajat di Desa</t>
  </si>
  <si>
    <t>2 Bidang Pendidikan
2.1 Sub Bidang Pendidikan 
2.1.01 Penyelenggaraan PAUD/TK/TPA/ **
2.1.02 Dukungan Penyelenggaraan PAUD (APE, Sarana PAUD dst)
2.1.06 Pembangunan/ Rehabilitasi/ Peningkatan /Pengadaan Sarana/Prasarana/Alat Peraga Edukatif (APE) .....**</t>
  </si>
  <si>
    <t>Kemendikbud, Kemendagri, Kementerian PUPR</t>
  </si>
  <si>
    <t>Dinas PMD, Dinas Dikbud, Dinas PUPR</t>
  </si>
  <si>
    <t>Dinas Dikbud, Dinas PMD, Dinas PUPR</t>
  </si>
  <si>
    <t>Desa</t>
  </si>
  <si>
    <t>Swasta</t>
  </si>
  <si>
    <t>b</t>
  </si>
  <si>
    <t>SKOR Kemudahan Akses menuju PAUD/TK/Sederajat terdekat di Desa</t>
  </si>
  <si>
    <t>2.1.02 Dukungan Penyelenggaraan PAUD (APE, Sarana PAUD dst)</t>
  </si>
  <si>
    <t>c</t>
  </si>
  <si>
    <t>SKOR Angka Partisipasi Murni (APM) anak usia 3 - 6 tahun yang bersekolah PAUD/TK/Sederajat di desa</t>
  </si>
  <si>
    <t>2.1.03 Penyuluhan dan Pelatihan bagi Masyarakat</t>
  </si>
  <si>
    <t>AKSES TERHADAP SD/MI/Sederajat</t>
  </si>
  <si>
    <t>SKOR Kemudahan Akses menuju SD/MI/Sederajat terdekat di Desa</t>
  </si>
  <si>
    <t>2.3.01 Pemeliharaan Jalan Desa
2.3.02 Pemeliharaan Jalan Lingkungan Permukiman /Gang</t>
  </si>
  <si>
    <t>SKOR Angka Partisipasi Murni (APM) anak usia 7-12 tahun yang bersekolah SD/MI/Sederajat di desa</t>
  </si>
  <si>
    <t>AKSES TERHADAP SMP/MTs/Sederajat</t>
  </si>
  <si>
    <t>SKOR Kemudahan Akses menuju SMP/MTs/Sederajat terdekat di Desa</t>
  </si>
  <si>
    <t>Dinas PMD, Dinas PUPR</t>
  </si>
  <si>
    <t>SKOR Angka Partisipasi Murni (APM) anak usia 13-15 tahun yang bersekolah SMP/MTs/Sederajat di desa</t>
  </si>
  <si>
    <t>AKSES TERHADAP SMA/SMK/MA/MAK/Sederajat</t>
  </si>
  <si>
    <t>SKOR Kemudahan Akses menuju SMA/SMK/MA/MAK/Sederajat terdekat di Desa</t>
  </si>
  <si>
    <t>SKOR Angka Partisipasi Murni (APM) anak usia 16-18 tahun yang bersekolah SMA/SMK/MA/MAK/Sederajat di desa</t>
  </si>
  <si>
    <t>1.B</t>
  </si>
  <si>
    <t>SUB-DIMENSI KESEHATAN</t>
  </si>
  <si>
    <t>Layanan Sarana Kesehatan</t>
  </si>
  <si>
    <t>SKOR Kemudahan akses menuju Sarana Kesehatan</t>
  </si>
  <si>
    <t>Kemenkes, Kemen PUPR</t>
  </si>
  <si>
    <t>Dinas PUPR</t>
  </si>
  <si>
    <t>Dinas Kesehatan, DPMD, Dinas PUPR</t>
  </si>
  <si>
    <t>Fasilitas Puskesmas Pembantu (Pustu)</t>
  </si>
  <si>
    <t>SKOR Keberadaan Fasilitas Puskesmas Pembantu (Pustu) termasuk Poskesdes/Polindes di Desa</t>
  </si>
  <si>
    <t>2.2.01 Penyelenggaraan PKD/Polindes Milik Desa
2.2.02 Penyelenggaraan Posyandu
2.2.09 Pembangunan / Rehabilitasi / Peningkatan / Pengadaan Sarana /Prasarana Posyandu / Polindes / PKD
2.2.08 Pemeliharaan Sarana/ Prasarana Posyandu/ Polindes/PKD</t>
  </si>
  <si>
    <t>SKOR Kemudahan akses menuju Fasilitas Puskesmas Pembantu (Pustu) termasuk Kesehatan Poskesdes/Polindes</t>
  </si>
  <si>
    <t>2.2.04 Penyelenggaraan Desa Siaga Kesehatan
2.2.09 Pembangunan / Rehabilitasi / Peningkatan / Pengadaan Sarana /Prasarana Posyandu / Polindes / PKD
2.2.08 Pemeliharaan Sarana/ Prasarana Posyandu/ Polindes/PKD</t>
  </si>
  <si>
    <t>Aktivitas Posyandu</t>
  </si>
  <si>
    <t>SKOR Ketersediaan Fasilitas Posyandu di Desa</t>
  </si>
  <si>
    <t>SKOR Keberadaan Aktivitas Posyandu</t>
  </si>
  <si>
    <t>2.2.01 Penyelenggaraan PKD/Polindes Milik Desa
2.2.02 Penyelenggaraan Posyandu
2.2.03 Penyuluhan dan Pelatihan Bidang Kesehatan 
2.2.09 Pembangunan / Rehabilitasi / Peningkatan / Pengadaan Sarana /Prasarana Posyandu / Polindes / PKD
2.2.08 Pemeliharaan Sarana/ Prasarana Posyandu/ Polindes/PK</t>
  </si>
  <si>
    <t>Pemdes</t>
  </si>
  <si>
    <t>SKOR Kemudahan akses menuju Fasilitas Posyandu</t>
  </si>
  <si>
    <t>2.2.01 Penyelenggaraan PKD/Polindes Milik Desa (Obat-obatan; tambanagan Insentif Bidan Desa/Perawat Desa; Penyediaan Pelayanan KB dan Alat Kontrasepsi bagi keluarga miskin, dst)
2.2.02 Penyelenggaraan Posyandu
2.2.03 Penyuluhan dan Pelatihan Bidang Kesehatan 
2.2.09 Pembangunan / Rehabilitasi / Peningkatan / Pengadaan Sarana /Prasarana Posyandu / Polindes / PKD
2.2.08 Pemeliharaan Sarana/ Prasarana Posyandu/ Polindes/PK</t>
  </si>
  <si>
    <t>Layanan Dokter</t>
  </si>
  <si>
    <t>SKOR Ketersediaan layanan dokter di desa</t>
  </si>
  <si>
    <t>Supra Desa dan Swasta</t>
  </si>
  <si>
    <t>SKOR Operasional ketersediaan layanan dokter di desa</t>
  </si>
  <si>
    <t>SKOR Penyedia layanan dokter di desa</t>
  </si>
  <si>
    <t>d</t>
  </si>
  <si>
    <t>SKOR Keberadaan Penyedia Transportasi penunjang menuju layanan Dokter</t>
  </si>
  <si>
    <t>2.2.90-99 lain-lain kegiatan sub bidang kesehatan</t>
  </si>
  <si>
    <t>Layanan Bidan</t>
  </si>
  <si>
    <t>SKOR Ketersediaan layanan Bidan di Desa</t>
  </si>
  <si>
    <t>SKOR Operasional ketersediaan layanan Bidan di desa</t>
  </si>
  <si>
    <t>SKOR Penyedia layanan Bidan di desa</t>
  </si>
  <si>
    <t>SKOR Keberadaan Penyedia Transportasi penunjang menuju layanan Bidan</t>
  </si>
  <si>
    <t>Layanan Tenaga Kesehatan Lainnya</t>
  </si>
  <si>
    <t>SKOR Ketersediaan layanan Tenaga Kesehatan di Desa</t>
  </si>
  <si>
    <t>SKOR Operasional ketersediaan layanan Tenaga Kesehatan di desa</t>
  </si>
  <si>
    <t>SKOR Penyedia layanan Tenaga Kesehatan di desa</t>
  </si>
  <si>
    <t>SKOR Keberadaan Penyedia Transportasi penunjang menuju layanan Nakes</t>
  </si>
  <si>
    <t>Jaminan Kesehatan Nasional</t>
  </si>
  <si>
    <t>SKOR Persentase keanggotaan BPJS</t>
  </si>
  <si>
    <t>2.2.03 Penyuluhan dan Pelatihan Bidang Kesehatan (Untuk Masyarakat, Tenaga Kesehatan, Kader Kesehatan, dll)</t>
  </si>
  <si>
    <t>SKOR Keberadaan kegiatan sosialisasi dan/atau advokasi terkait program jaminan kesehatan nasional di desa</t>
  </si>
  <si>
    <t>1.C</t>
  </si>
  <si>
    <t>Sub-Dimensi Utilitas Dasar</t>
  </si>
  <si>
    <t>Rumah Tangga dengan Air Minum Aman</t>
  </si>
  <si>
    <t>SKOR Operasional Ketersediaan Air Minum di Desa dalam seminggu</t>
  </si>
  <si>
    <t>2.4.03 Pemeliharaan Sumber Air Bersih Milik Desa (Mata Air/ Tandon Penampungan Air Hujan/ Sumur Bor dll)
2.4.04 Pemeliharaan Sambungan Air Bersih ke Rumah Tangga (pipanisasi dll)
2.4.10 Pembangunan / Rehaboilitasi / Peningkatan Sumur Resapan**
2.4.11 Pembangunan / Rehabilitasi / Peningkatan SAB Milik Desa (Mata Air / Tandon Penampungan Air Hujan / Sumur Bor dll)**
2.4.12 Pembangunan / Rehabilitasi / Peningkatan Sambungan Air Bersih ke Rumah Tangga**</t>
  </si>
  <si>
    <t>PAMSIMAS, PU</t>
  </si>
  <si>
    <t>Dinas PUPR, Dinas Kesehatan, DPMD, PDAM</t>
  </si>
  <si>
    <t>SKOR Ketersediaan Air Minum untuk warga desa</t>
  </si>
  <si>
    <t>SKOR Kemudahan akses Air Minum untuk warga di desa</t>
  </si>
  <si>
    <t>SKOR Kualitas Air Minum di Desa (Tidak untuk Berbau, Berwarna, &amp; Berasa)</t>
  </si>
  <si>
    <t>2.4.03 Pemeliharaan Sumber Air Bersih Milik Desa (Mata Air/ Tandon Penampungan Air Hujan/ Sumur Bor dll)
2.4.04 Pemeliharaan Sambungan Air Bersih ke Rumah Tangga (pipanisasi dll)
2.4.10 Pembangunan / Rehaboilitasi / Peningkatan Sumur Resapan**
2.4.11 Pembangunan / Rehabilitasi / Peningkatan SAB Milik Desa (Mata Air / Tandon Penampungan Air Hujan / Sumur Bor dll)**
2.4.12 Pembangunan / Rehabilitasi / Peningkatan Sambungan Air Bersih ke Rumah Tangga**
2.4.12 Pembangunan / Rehabilitasi / Peningkatan Sambungan Air Bersih lainnya</t>
  </si>
  <si>
    <t>Persentase Rumah Tidak Layak Huni</t>
  </si>
  <si>
    <t>SKOR Persentase Rumah Tidak Layak Huni</t>
  </si>
  <si>
    <t>2.4. Sub Bidang Kawasan Permukiman
2.4.01 Dukungan Pelaksanaan Perogram Pembangunan / Rehab RTLH, GAKIN (Pemetaan, validasi, dll)</t>
  </si>
  <si>
    <t>SOSIAL</t>
  </si>
  <si>
    <t>2.A</t>
  </si>
  <si>
    <t>SUB-DIMENSI AKTIVITAS</t>
  </si>
  <si>
    <t>Kearifan Sosial/Budaya dan Keagamaan</t>
  </si>
  <si>
    <t>SKOR Keberadaan kearifan budaya/sosial/keagamaan yang ada/menjadi ciri khas desa</t>
  </si>
  <si>
    <t>3.2.01 Pembinaan Group Kesenian dan Kebudayaan Tingkat Desa
3.2.03 Penyelenggaraan Festival Kesenian, adat/kebudayaan dan keagamaan (perayaan hari kemerdesaan hari besar keagamaan dll) tingkat desa
3.2.04 Pemeliharaan Sarana dan Prasarana Kebudayaan/ Rumah adat/ keagamaan milik desa**
3.2.05 Pembangunan/ Rehabilitasi/Peningkatan Sarana dan Prasarana Kebudayaan/Rumah Adat/Keagamaan Milik Desa**</t>
  </si>
  <si>
    <t>Kemendesa PDT, Kemendikbudristek, Kemenag, Kemenparekraf</t>
  </si>
  <si>
    <t>Dinas PMD, Dians Pariwisata</t>
  </si>
  <si>
    <t>Dinas PMD, Dinas Pariwisata</t>
  </si>
  <si>
    <t>Pemdes, Lembaga Adat, Karang Taruna</t>
  </si>
  <si>
    <t>SKOR Jumlah Kearifan budaya/sosial yang masih dipertahankan/dilestarikan</t>
  </si>
  <si>
    <t>Dinas PMD, Dians Pariwisata, Dinas Pendidikan dan Kebudayaan</t>
  </si>
  <si>
    <t>Pemdes, Lembaga Adat, Kelompok Seni, Karang Taruna</t>
  </si>
  <si>
    <t>Frekuensi Gotong Royong</t>
  </si>
  <si>
    <t>SKOR Keberadaan kegiatan gotong royong di Desa</t>
  </si>
  <si>
    <t>3 Bidang Pembinaan Kemasyarakatan Desa
4 Bidang Pemberdayaan Masyarakat Desa</t>
  </si>
  <si>
    <t>Kemendagri, Kemendesa PDT, Kemensos</t>
  </si>
  <si>
    <t>Dinas PMD, Dinas Sosial</t>
  </si>
  <si>
    <t>Lembaga Kemasyarakatan Desa (LPMD/RT/RW), Pemdes, Karang Taruna</t>
  </si>
  <si>
    <t>SKOR Frekuensi Kegiatan Gotong Royong di desa</t>
  </si>
  <si>
    <t>Lembaga Kemasyarakatan Desa (LPMD/RT/RW), Pemdes, Karang Taruna, Kelompok Pemuda</t>
  </si>
  <si>
    <t>SKOR Keterlibatan warga dalam kegiatan gotong royong</t>
  </si>
  <si>
    <t>Kegiatan Olahraga</t>
  </si>
  <si>
    <t>SKOR Frekuensi Aktivitas Kegiatan Olahraga dilakukan dalam satu bulan</t>
  </si>
  <si>
    <t>3.3.03 Penyelenggaraan Festival / Lomba Kepemudaan dan Olahraga tingkat Desa</t>
  </si>
  <si>
    <t>Kemenpora, Kemendesa,Koni, Lembaga Olah Raga nasional</t>
  </si>
  <si>
    <t>Dispora, Dinkes</t>
  </si>
  <si>
    <t>Pemdes, karang Taruna, PKK</t>
  </si>
  <si>
    <t>Klub Olahraga,Pusat Studi Olah Raga, kampus</t>
  </si>
  <si>
    <t>Mitigasi dan Penanganan Konflik Sosial</t>
  </si>
  <si>
    <t>SKOR Penyelesaian Konflik secara damai</t>
  </si>
  <si>
    <t>1.5.04 Mediasi Konflik Pertanahan 
3.1.03 Koordinasi Pembinaan Ketentraman, Ketertiban dan Perlindungan Masyarakat (dengan masyarakat/instansi pemerintah daerah, dll) skala lokal desa
3.1.07 Pelatihan/Penyuluhan/sosialisasi kepada masyarkat di bidang hukum dan perlindungan masyarakat</t>
  </si>
  <si>
    <t>Kemendagri, kemenkum dan HAM, kemenkopolhukam, BIN, Kepolisian, TNI</t>
  </si>
  <si>
    <t>Kesbangpol,Dinas Kominfo, Dinas Sosial</t>
  </si>
  <si>
    <t>Kesbangpol,Dinas Kominfo, Dinas Kesejahteraan Sosial, Dinas PMD</t>
  </si>
  <si>
    <t>Lembaga Kemasyarakatan Desa (LPMD/RT/RW), Pemdes, Karang Taruna, Kelompok Pemuda, Tokoh Masyarakat dan Adat</t>
  </si>
  <si>
    <t>Fasilitator Mediasi Akademis, Kampus</t>
  </si>
  <si>
    <t>SKOR Peranan aparat keamanan menjadi mediator / penengah dalam penyelesaian Konflik</t>
  </si>
  <si>
    <t>Kemenko Polhukam, Kemendagri, Kemenhan, Polri, TNI</t>
  </si>
  <si>
    <t>Satpol PP,Dinsos, Forkopinda</t>
  </si>
  <si>
    <t>pemdes, LKS, Lembaga Mediasi Swasta</t>
  </si>
  <si>
    <t>Akademisi, Pakar Konsflik dan Perdamaian</t>
  </si>
  <si>
    <t>SKOR Peranan aparat pemerintah menjadi mediator / penengah dalam penyelesaian Konflik</t>
  </si>
  <si>
    <t>Kemendagri, Kemendesa PDTT, Kemenko Polhukam, Kemenkumham, BNPB, Lemhannas, BPN</t>
  </si>
  <si>
    <t>Kesbangpol, Dinas PMD</t>
  </si>
  <si>
    <t>Kesbangpol, Dinas PMD, Dinsos</t>
  </si>
  <si>
    <t>Pemdes, BPD</t>
  </si>
  <si>
    <t>LSM, Akademisi, Pusat Studi konflik</t>
  </si>
  <si>
    <t>SKOR Peranan tokoh masyarakat menjadi mediator / penengah dalam penyelesaian Konflik</t>
  </si>
  <si>
    <t>Kemendagri, Kemendesa PDTT,Kemenag, Kemenko PMK, BNPT, LIPI, MUI</t>
  </si>
  <si>
    <t>Dinas PMD, Dinas Pariwisata, Kesbangpol</t>
  </si>
  <si>
    <t>Dinas PMD, Dinsos, Dinas pendidikan</t>
  </si>
  <si>
    <t>LSM, Akademisi, Pusat Kajian Konflik dan Perdamaian</t>
  </si>
  <si>
    <t>e</t>
  </si>
  <si>
    <t>SKOR Peranan tokoh agama menjadi mediator / penengah dalam penyelesaian Konflik</t>
  </si>
  <si>
    <t>Kemenag, Kemenko PMK, Kemendagri, MUI, Konferensi Waligereja Indonesia, BNPT</t>
  </si>
  <si>
    <t>Kesbangpol, Dinsos, Dinas PMD,</t>
  </si>
  <si>
    <t>Kesbangpol, Dinsos, Dinas PMD, Dias Dikbud</t>
  </si>
  <si>
    <t xml:space="preserve">Pemdes, BPD, </t>
  </si>
  <si>
    <t>LSM Keagamaan, Swasta, Akademisi, Pusat Studi Agama dan Perdamaian</t>
  </si>
  <si>
    <t>Satkamling</t>
  </si>
  <si>
    <t>SKOR Keberadaan Satuan Keamanan Lingkungan (Satkamling) di Desa</t>
  </si>
  <si>
    <t>3.1.01 Pengadaan/Penyelenggaraan Pos Keamanan Desa (Pembangunan Pos, Pengawasan pelaksanaan jadwal ronda/patroli dll)
3.1.02 Penguatan dan Peningkatan Kapasitas Tenaga Keamanan / Ketertiban oleh Pemerintah Desa (Satlinmas desa)</t>
  </si>
  <si>
    <t>Kemendagri, Kemenko Polhukam, Kemendesa PDTT, Polri, BNPT,BIN</t>
  </si>
  <si>
    <t>Kesbangpol, Dinas PMD,Forkopinda</t>
  </si>
  <si>
    <t>Pemdes, BPD, RT/RW</t>
  </si>
  <si>
    <t>Akademisi, Pusat Studi Keamanan</t>
  </si>
  <si>
    <t>SKOR Aktivitas Satuan Keamanan Lingkungan (Satkamling) di Desa</t>
  </si>
  <si>
    <t>Kemendagri, Kemendesa PDTT, Kemenko Polhukam, Polri, TNI, BNPT, BIN</t>
  </si>
  <si>
    <t>Pemdes, BPD, RT/RW, Tokoh Masyarakat</t>
  </si>
  <si>
    <t>2.B</t>
  </si>
  <si>
    <t>SUB-DIMENSI FASILITAS MASYARAKAT</t>
  </si>
  <si>
    <t>Taman Bacaan Masyarakat/ Perpustakaan Desa</t>
  </si>
  <si>
    <t>SKOR Keberadaan Taman Bacaan Masyarakat/ Perpustakaan Desa</t>
  </si>
  <si>
    <t>2.1.04 Pemeliharaan Sarpras Perpustakaan / Taman bacaan / Sanggar Milik Desa**
2.1.07 Pembangunan / Rehabilitasi / Peningkatan Sarpras Perpustakaan / Taman Bacaan Desa**</t>
  </si>
  <si>
    <t>Kemendibudristek, Kemendagri, Kemendesa PDTT, Perpustakaan nasional, Bakti-Kominfo, Badan pengembangan dan Pembinaan Bahasa</t>
  </si>
  <si>
    <t>Dinas perpustakaan dan Kearsipan, Dinas Dikbud, Diskominfo</t>
  </si>
  <si>
    <t>Dinas perpustakaan dan Kearsipan, Dinas Dikbud, Diskominfo, Dinas PMD</t>
  </si>
  <si>
    <t>Pemdes, Karang Taruna, RT, RW, Kader Literasi Desa</t>
  </si>
  <si>
    <t>Swasta, LSM, Akademisi, Pusat Studi Literasi, Mahasiswa</t>
  </si>
  <si>
    <t>SKOR Operasional Taman Bacaan Masyarakat/ Perpustakaan Desa</t>
  </si>
  <si>
    <t>2.1.03 Penyuluhan dan pelatihan bagi masyarakat
2.1.08 Pengelolaan Perpustakaan Milik Desa (Pengadaan Buku-buku bacaan, Honor Penjaga untuk perpustakaan)</t>
  </si>
  <si>
    <t>Kemendikbudristek, Kemendagri, Kemendesa PDTT, Perpusnas, Bakti-Kominfo, Badan pengembangan dan pembinaan bahasa</t>
  </si>
  <si>
    <t>Fasilitas Olahraga</t>
  </si>
  <si>
    <t>SKOR Ketersediaan Fasilitas dan kondisi/keadaan sebagian besar Fasilitas olahraga di Desa</t>
  </si>
  <si>
    <t>3.3.05 Pembangunan/Rehabilitasi/Peningkatan Sarana dan Prasaran Kepemudaan dan Olah raga milik Desa **
3.3.04 Pemeliharaan Saran dan Prasarana Kepemudaan dan Olahraga Milik Desa**</t>
  </si>
  <si>
    <t xml:space="preserve">Kemenpora, Kemendesa PDTT, KONI, Lembaga Pengelola Dana Hibah, </t>
  </si>
  <si>
    <t>Dispora, Dinas PU, Dinas Kesehatan</t>
  </si>
  <si>
    <t>Dispora, Dinas PUPR, Dinas Kesehatan, Dinas Pariwisata</t>
  </si>
  <si>
    <t>Pemdes, Karang Taruna, kelompok Pemuda, BPD</t>
  </si>
  <si>
    <t>Swasta, Akademisi, Pusat Penelitian dan Pengembangan Olahraga</t>
  </si>
  <si>
    <t>Keberadaan Ruang Publik Terbuka</t>
  </si>
  <si>
    <t>SKOR Keberadaan ruang publik terbuka/keadaan sebagian besar Fasilitas Ruang Publik Terbuka di Desa</t>
  </si>
  <si>
    <t>2.4.17 Pembangunan / Rehabilitasi / Peningkatan Taman / Taman Bermain Anak Milik Desa**
2.4.09 Pemeliharaan Taman/Taman Bermain Milik Desa</t>
  </si>
  <si>
    <t>KemenPUPR, Kemendesa PDTT, KLHK, Bappenas, Badan Pengelola Dana Lingkungan Hidup, LSM</t>
  </si>
  <si>
    <t>Dinas PUPR, DLH,</t>
  </si>
  <si>
    <t>Swasta, Akademisi, Badan Penelitian tata Kota dan Lingkungan</t>
  </si>
  <si>
    <t>EKONOMI</t>
  </si>
  <si>
    <t>3.A</t>
  </si>
  <si>
    <t>SUB-DIMENSI PRODUKSI DESA</t>
  </si>
  <si>
    <t>Keragaman Aktivitas Ekonomi</t>
  </si>
  <si>
    <t>SKOR Keragaman Aktivitas Ekonomi di Desa</t>
  </si>
  <si>
    <t>2.8.01 Pemeliharaan Sarana dan Prasarana Pariwisata Milik Desa
2.8.02 Pembangunan/Rehabilitasi/Peningkatan Sarana dan Prasarana Pariwisata Milk Desa
2.8.03 Pengembangan Pariwisata Tingkat Desa**
2.5.01 Pengelolaan Hutan Milik Desa
2.5.02 Pengelolaan Lingkungan Hidup Desa
4.1 Sub Bidang Kelautan dan Perikanan
4.2 Sub Bidang Pertanian dan Peternakan
4.5 Sub Bidang Koperasi, Usaha Mikro Kecil dan Menengah
4.6 Sub Bidang Dukungan Penanaman Modal
4.7 Sub Bidang Perdagangan dan Perindustrian</t>
  </si>
  <si>
    <t>Kemendesa PDTT, Kemenkop UKM, Kemendag, Kementan, Kemenparekraf, LPDB, BUMN, Lembaga Penelitian dan Pengembangan</t>
  </si>
  <si>
    <t>Dinas Kop dan UMKM, Dinas Perindag</t>
  </si>
  <si>
    <t>Dinas Koperasi dan UMKM, Dinas Perindag, Dinas Parekraf</t>
  </si>
  <si>
    <t>Pemdes, BPD, Kelompok Tani, Nelayan dan Pengrajin Desa</t>
  </si>
  <si>
    <t>Swasta, Koperasi, Bumdes, Akademisi, Pusat Penelitian Ekonomi dan Desa</t>
  </si>
  <si>
    <t>SKOR Keaktifan Aktivitas Ekonomi di Desa</t>
  </si>
  <si>
    <t>4.1 Sub Bidang Kelautan dan Perikanan
4.2 Sub Bidang Pertanian dan Peternakan
4.5 Sub Bidang Koperasi, Usaha Mikro Kecil dan Menengah
4.6 Sub Bidang Dukungan Penanaman Modal
4.7 Sub Bidang Perdagangan dan Perindustrian</t>
  </si>
  <si>
    <t>Kemendesa PDTT, Kemenkop &amp; UMKM, Kementan, Kemendag, BUMN, Lembaga Penelitian Ekonomi dan Kebijakan Publik, Lembaga Keuangan dan Bank BUMN</t>
  </si>
  <si>
    <t>Dinas Kop dan UMKM, Dinas Perindag, Dinas Pariwisata</t>
  </si>
  <si>
    <t>Dinas Koperasi dan UMKM, Dinas Pertanian, Dinas Pariwisata dan kebudayaan, Dinas Tenaga Kerja</t>
  </si>
  <si>
    <t xml:space="preserve">Pemdes, BPD, Kelompok Tani, Pengrajin Desa, </t>
  </si>
  <si>
    <t>Swasta, Akademisi, Pusat Penelitian Ekonomi dan Sosial</t>
  </si>
  <si>
    <t>Produk Unggulan Desa</t>
  </si>
  <si>
    <t>SKOR Keberadaan Produk Unggulan Desa</t>
  </si>
  <si>
    <t>4.2.03 Penguatan Ketahanan Pangan Tingkat Desa (Lumbung Desa, dll)
4.5.01 Pelatihan Manajemen Pengelolaan Koperasi/KUD/UMKM
4.5.02 Pengembangan Sarana Prasarana Usaha Mikro, Ekcil dan menengah serta Koperasi
4.5.03 Pengadaan Teknologi Tepat Guna untuk Pengembangan Ekonomi Perdesaan Non-Pertanian
4.7.03 Pengembangan Industri Keci Level Desa
4.7.04 Pembentukan/Fasilitasi/Pelatihan/Pendampingan kelompok usaha ekonomi peroduktif (Pengrajin, pedagang, industri rumah tangga, dll)</t>
  </si>
  <si>
    <t>Kemendesa PDTT, Kementan, Kemenperin, Kemenkop UKM, Kemenparekraf, Kemendag, BPS, BUMN, LIPI, Brin</t>
  </si>
  <si>
    <t>Dinas pMD, Disperindag, Dinas Pertanian dan Ketahanan Pangan, Dinas pariwisata dan Kebudayaan</t>
  </si>
  <si>
    <t xml:space="preserve">Pemdes, Bumdes, </t>
  </si>
  <si>
    <t>Akademisi, Pusat Penelitian dan Inovasi Universitas</t>
  </si>
  <si>
    <t>SKOR Cakupan Penjualan Hasil Produk Unggulan Desa</t>
  </si>
  <si>
    <t>4.2.03 Penguatan Ketahanan Pangan Tingkat Desa (Lumbung Desa, dll)
4.5.01 Pelatihan Manajemen Pengelolaan Koperasi/KUD/UMKM
4.5.02 Pengembangan Sarana Prasarana Usaha Mikro, Ekcil dan menengah serta Koperasi
4.5.03 Pengadaan Teknologi Tepat Guna untuk Pengembangan Ekonomi Perdesaan Non-Pertanian
4.7.03 Pengembangan Industri Kecil Level Desa
4.7.04 Pembentukan/Fasilitasi/Pelatihan/Pendampingan kelompok usaha ekonomi peroduktif (Pengrajin, pedangan, industri rumah tangga, dll)</t>
  </si>
  <si>
    <t>Kemendesa PDTT, Kementan, Kemenperin, Kemendag, BPS, BKPM</t>
  </si>
  <si>
    <t>Dinas Koperasi dan UMKM, Dinas Perdagangan, Dinas Pertanian</t>
  </si>
  <si>
    <t>Dinas pMD, Disperindag</t>
  </si>
  <si>
    <t>Pemdes, Bumdes, Kelompok Tani, Kelompok Usaha</t>
  </si>
  <si>
    <t>Swasta, Akademisi</t>
  </si>
  <si>
    <t>SKOR Ketersediaan merek dagang</t>
  </si>
  <si>
    <t>4.5.01 Pelatihan Manajemen Pengelolaan Koperasi/KUD/UMKM
4.5.02 Pengembangan Sarana Prasarana Usaha Mikro, Ekcil dan menengah serta Koperasi
4.5.03 Pengadaan Teknologi Tepat Guna untuk Pengembangan Ekonomi Perdesaan Non-Pertanian
4.7.04 Pembentukan/Fasilitasi/Pelatihan/Pendampingan kelompok usaha ekonomi peroduktif (Pengrajin, pedangan, industri rumah tangga, dll)</t>
  </si>
  <si>
    <t>Kemenkumham, Kemendesa PDTT, Kemendag, Kemenperin, BSN, Lembaga Pengkajian dan Pengembangan</t>
  </si>
  <si>
    <t>Disperindag, Dinas Koperasi dan UKM</t>
  </si>
  <si>
    <t>Disperindag, Dinas PMD</t>
  </si>
  <si>
    <t>Ekonomi Kreatif</t>
  </si>
  <si>
    <t>SKOR Keberadaan Kearifan lokal atau kebudayaan lokal yang di jadikan sebagai kegiatan ekonomi dalam menunjang penghidupan masyarakat di desa</t>
  </si>
  <si>
    <t>Kemenparekraf, Kemendikbudristek, Kemendesa PDTT, Kemendag, Bekraf, Lembaga Kebudayaan Lokal</t>
  </si>
  <si>
    <t>Dinas Pariwisata dan Kebudayaan, Dinas Koperasi daan UKM, Dinas Pendidikan</t>
  </si>
  <si>
    <t>Dinas Pariwisata dan Kebudayaan, Dinas PMD, Dinas Perindustrian dan Perdagangan</t>
  </si>
  <si>
    <t>Pemdes, Bumdes, Kelompok Masyarakat Adat dan Budaya</t>
  </si>
  <si>
    <t>Kerjasama Desa</t>
  </si>
  <si>
    <t>SKOR Kerjasama desa dengan desa lainnya</t>
  </si>
  <si>
    <t>1.4.09 Koodinasi/Kerjasama Penyelenggaraan Pemerintahan dan Pembangunan Desa (Antar Desa/Kecamatan/Kabupaten, Pihak ketiga, dll)**</t>
  </si>
  <si>
    <t>Kemendesa PDTT,Kemendagri, Kemenko PMK,BKPM, LPM</t>
  </si>
  <si>
    <t>Dinas PMD, Dinas Perdagangan, Dinas Koperasi dan UKM</t>
  </si>
  <si>
    <t>Dinas PMD, Disperindag, Dinas Pariwisata dan Kebudayaan</t>
  </si>
  <si>
    <t>Pemdes, Bumdes, Kelompok Masyarakat</t>
  </si>
  <si>
    <t>SKOR Kerjasama desa dengan pihak ketiga</t>
  </si>
  <si>
    <t>Kemendesa PDTT, Kemendagri, Kementerian Perdagangan, Kementerian Koperasi dan UKM, BKPM, BUMN, LSM</t>
  </si>
  <si>
    <t>Dinas PMD, Disperindag, Dinas Koperasi dan UKM</t>
  </si>
  <si>
    <t>Dinas PMD, Disperindag, Dinas Lingkungan Hidup</t>
  </si>
  <si>
    <t>3.B</t>
  </si>
  <si>
    <t>SUB-DIMENSI FASILTAS PENDUKUNG EKONOMI</t>
  </si>
  <si>
    <t>Akses Terhadap Pendidikan Non-formal/Pusat Keterampilan/Kursus</t>
  </si>
  <si>
    <t>SKOR Ketersediaan Pendidikan Non-formal/Pusat Keterampilan/Kursus</t>
  </si>
  <si>
    <t>4.7.04 Pembentukan/Fasilitasi/Pelatihan/Pendampingan kelompok usaha ekonomi produktif (Pengrajin. Pedagang, Industri Rumah Tangga, dll)</t>
  </si>
  <si>
    <t>Kemendikbudristek, Kemenaker, Kemendesa PDTT,Kemensos, BNSP, Perpustakaan Nasional, LPKS</t>
  </si>
  <si>
    <t>Dinas Pendidikan, Dinas Ketenagakerjaan, Disperindag</t>
  </si>
  <si>
    <t>Dinas Pendidikan, Dinas Ketenagakerjaan, Dinas Koperasi dan UKM</t>
  </si>
  <si>
    <t>SKOR Keterlibatan Angkatan Kerja pada Pendidikan Non-formal/Pusat Keterampilan/Kursus</t>
  </si>
  <si>
    <t>Kemenaker, Kemendikbudristek, Kemendesa PDTT, Kemenperin, BNSP, Bappenas, BUMN</t>
  </si>
  <si>
    <t>Dinas Ketenagakerjaan, Dinas Pendidikan, Disperindag</t>
  </si>
  <si>
    <t>Dinas Ketenagakerjaan, Dinas Pendidikan, Dinas Koperasi dan UKM</t>
  </si>
  <si>
    <t>Pemdes, Bumdes, Kelompok Pemuda Desa</t>
  </si>
  <si>
    <t>Pasar Rakyat</t>
  </si>
  <si>
    <t>SKOR Ketersediaan Pasar di Desa</t>
  </si>
  <si>
    <t>4.7.02 Pembangunan/Rehabilitasi/Peningkatan Pasar Desa/Kios milik Desa**
4.7.01 Pemeliharaan Pasar Desa/ Kios milik Desa
4.7.03 Pengembangan Industri Kecil level Desa</t>
  </si>
  <si>
    <t>Kemendesa PDTT, Kemendag, Kementerian Koperasi dan UKM, Kementan, LPDB-KUMKM, BKPM, Perpustakaan Nasional dan Lembaga Arsip Daerah</t>
  </si>
  <si>
    <t>Disperindag, Dinas Koperasi dan UKM, Dinas Pertanian</t>
  </si>
  <si>
    <t>Dinas Perdagangan, Dinas Koperasi dana UKM, Dinas Pertanian dan Perikanan</t>
  </si>
  <si>
    <t>Pemdes, Bumdes, Kelompok Tani dan Pengrajin</t>
  </si>
  <si>
    <t>SKOR Kemudahan akses menuju pasar di Desa</t>
  </si>
  <si>
    <t>4.7.02 Pembangunan/Rehabilitasi/Peningkatan Pasar Desa/Kios milik Desa**
4.7.01 Pemeliharaan Pasar Desa/ Kios milik Desa
4.7.03 Pengembangan Industri Kecil level Desa
2.3.01 Pemeliharaan Jalan Desa
2.3.02 Pemeliharaan Jalan Lingkungan Permukiman /Gang</t>
  </si>
  <si>
    <t>Kementerian PUPR, Kemenhub, Kemendesa PDTT, Kementan, BPIW, BNPB, LKPP</t>
  </si>
  <si>
    <t>Dinas PUPR, Dinas Perhubungan, Dinas Pembangunan</t>
  </si>
  <si>
    <t>Dinas PUPR, Dinas Perhubungan, Dinas PMD</t>
  </si>
  <si>
    <t>Toko/Pertokoan</t>
  </si>
  <si>
    <t>SKOR Ketersediaan Toko/Pertokoan di Desa</t>
  </si>
  <si>
    <t>Kemendesa PDTT, Kementerian Koperasi dan UKM, Kementerian PUPR, Kemendag, LPDB-KUMKM, BPIW, BKPM</t>
  </si>
  <si>
    <t>Dinas Koperasi dan UKM, Disperindag, Dinas PU dan Penataan Ruang</t>
  </si>
  <si>
    <t>Disperindag, Dinas Koperasi dan UKM, Dinas PU</t>
  </si>
  <si>
    <t>SKOR Kemudahan akses menuju toko/pertokoan di Desa</t>
  </si>
  <si>
    <t>Kemendesa PDTT, Kementerian PUPR, Kemenhub, Kemendag, BPIW, BNPB, LPDB-KUMKM</t>
  </si>
  <si>
    <t>Dinas PUPR, Dishub, Disperindag</t>
  </si>
  <si>
    <t>Dinas PU, Dishub, Disperindag</t>
  </si>
  <si>
    <t>Kedai/Rumah Makan</t>
  </si>
  <si>
    <t>SKOR Ketersediaan Kedai/Rumah Makan di Desa</t>
  </si>
  <si>
    <t>Kemendesa PDTT, Kemenparekraf, Kementerian Koperasi dan UKM, Kemendag, LPDB-KUMKM, Bekraf, BKPM</t>
  </si>
  <si>
    <t>Dinas Koperasi dan UKM, Disperindag, Dinas Pariwisata</t>
  </si>
  <si>
    <t>SKOR Kemudahan akses menuju Kedai/Rumah Makan di Desa</t>
  </si>
  <si>
    <t>Kemendesa PDTT, Kementerian PUPR, kemenhub, Kemenparekraf, BPIW, Bekraf, LPDB-KUMKM</t>
  </si>
  <si>
    <t>Dias PUPR, Dishub, Dinas Pariwisata</t>
  </si>
  <si>
    <t>Dinas PU, Dishub, Dinas Pariwisata</t>
  </si>
  <si>
    <t>Penginapan</t>
  </si>
  <si>
    <t>SKOR Ketersediaan Penginapan di Desa</t>
  </si>
  <si>
    <t>Kemendesa PDTT, Kemenparekraf, Kementerian Koperasi dan UKM, Kemendag, Bekraf, BPIW, LPDB-KUMKM</t>
  </si>
  <si>
    <t>Dinas Pariwisata, Dinas PUPR, Dinas Perdagangan dan Koperasi</t>
  </si>
  <si>
    <t>Dinas Pariwisata, Dinas PU, Dinas Perdagangan dan Koperasi</t>
  </si>
  <si>
    <t>SKOR Kemudahan akses menuju Penginapan di Desa</t>
  </si>
  <si>
    <t>Kemendesa PDTT, Kementerian PUPR, Kemenhub, Kemenparekraf, BPIW-Bekraf, LPDB-KUMKM</t>
  </si>
  <si>
    <t>Dinas PUPR, Dishub, Dinas Pariwisata</t>
  </si>
  <si>
    <t>Layanan Pos dan Logistik</t>
  </si>
  <si>
    <t>SKOR Ketersediaan Layanan Pos dan Logistik di Desa</t>
  </si>
  <si>
    <t>Supra Desa</t>
  </si>
  <si>
    <t>Kemendesa PDTT, Kementerian Kominfo, Kemenhub, BUMN, PT Pos Indonesia, Bulog, BPOM</t>
  </si>
  <si>
    <t>Dishub, Diskominfo, Dinas Koperasi dan UKM</t>
  </si>
  <si>
    <t>Dishub, Diskominfo, Dinas Koeprasi dan UKM</t>
  </si>
  <si>
    <t>SKOR Kemudahan akses menuju Layanan Pos dan Logistik di Desa</t>
  </si>
  <si>
    <t>Dishub, Diskominfo, Dinas Perdagangan</t>
  </si>
  <si>
    <t>Dishub, Dinas Komunikasi dan Informatika, Dinas Koperasi dan UKM</t>
  </si>
  <si>
    <t>Lembaga Ekonomi</t>
  </si>
  <si>
    <t>SKOR Keberadaan BUM Desa/BUM Desa Bersama di Desa</t>
  </si>
  <si>
    <t>4.6.01 Pembentukan BUM Desa (Persiapan dan Pembentukan Awal BUM Desa)
4.6.02 Pelatihan Pengelolaan BUM Desa (Pelatihan yang dilaksanakan oleh Desa)</t>
  </si>
  <si>
    <t>Kemendesa PDTT, Kementerian Koperasi dan UKM, Kemenkeu, Kementerian BUMN, BUMN, Lembaga Pengembangan Ekonomi,Bappenas</t>
  </si>
  <si>
    <t>Dinas PMD, Dinas Koperasi dan UKM, Dinas Perdagangan</t>
  </si>
  <si>
    <t>Dinas PMD,Dinas Koperasi dan UKM, Dinas Perdagangan</t>
  </si>
  <si>
    <t>Pemdes, Bumdes</t>
  </si>
  <si>
    <t>SKOR BUM Desa/BUM Desa Bersama sudah berbadan hukum</t>
  </si>
  <si>
    <t>Kemendesa PDTT, Kemenkumham, Kementerian Koperasi dan UKM, BKPM, LPED</t>
  </si>
  <si>
    <t>SKOR Operasional BUM Desa/BUM Desa Bersama</t>
  </si>
  <si>
    <t>Kemendesa PDTT, Kementeian Koperasi dan UKM, Kemenkeu, BKPM, LPED</t>
  </si>
  <si>
    <t>SKOR Ketersediaan Lembaga Ekonomi lainnya di Desa (selain BUM Desa/BUM Desa bersama)</t>
  </si>
  <si>
    <t>4.6.01 Pembentukan BUM Desa (Persiapan dan Pembentukan Awal BUM Desa)
4.6.02 Pelatihan Pengelolaan BUM Desa (Pelatihan yang dilaksanakan oleh Desa) 
4.7.03 Pengembangan Industri Kecil Level Desa
4.7.04 Pembentukan/Fasilitasi/Pelatihan/Pendampingan kelompok usaha ekonomi peroduktif (Pengrajin, pedangan, industri rumah tangga, dll)</t>
  </si>
  <si>
    <t>Kemendesa PDTT, Kementerian Koperasi dan UKM, Kemenkeu, Kemensos, BKPM, LPED, OJK</t>
  </si>
  <si>
    <t>SKOR Ketersediaan Lembaga Ekonomi KUD</t>
  </si>
  <si>
    <t>4.5.01 Pelatihan Manajemen Pengelolaan Koperasi/KUD/UMKM
4.5.02 Pengembangan Sarana Prasarana Usaha Mikro, Ekcil dan menengah serta Koperasi</t>
  </si>
  <si>
    <t>Pemdes, Lembaga Ekonomi</t>
  </si>
  <si>
    <t>f</t>
  </si>
  <si>
    <t>SKOR Ketersediaan Lembaga Ekonomi UMKM</t>
  </si>
  <si>
    <t>4.5.01 Pelatihan Manajemen Pengelolaan Koperasi/KUD/UMKM
4.5.02 Pengembangan Sarana Prasarana Usaha Mikro, Kecil dan menengah serta Koperasi</t>
  </si>
  <si>
    <t>Kemenkop UKM, Kemendesa PDTT, Kemendag, kemenkeu, Bekraf, BKPM, OJK, Lembaga Pembiayaan</t>
  </si>
  <si>
    <t>Dinas Koperasi dan UKM, Dinas Perdagangan, Dinas Perindustrian</t>
  </si>
  <si>
    <t>Layanan Keuangan</t>
  </si>
  <si>
    <t>SKOR Ketersediaan layanan perbankan di desa</t>
  </si>
  <si>
    <t>Kemenkeu, BI, OJK, Kemendesa PDTT, BKPM, LKM</t>
  </si>
  <si>
    <t>Dinas Koperasi dan UKM, Dinas Perdagangan</t>
  </si>
  <si>
    <t>Dinas Koperasi dan UKM, Dinsos</t>
  </si>
  <si>
    <t>SKOR Operasional layanan perbankan</t>
  </si>
  <si>
    <t>SKOR Keberadaan Layanan Fasilitas Kredit Berupa KUR</t>
  </si>
  <si>
    <t>Kemenkeu, Kemenkop UKM, Kemendesa PDTT, OJK, Bank Pemerintah, Lembaga Keuangan Mikro, Aosiasi Perbankan Indonesia</t>
  </si>
  <si>
    <t>Dinas Koperasi dan UKM, Disperindag</t>
  </si>
  <si>
    <t>Dinas Koperasi dan UKM, Dinas PMD</t>
  </si>
  <si>
    <t>Pemdes, Lembaga Ekonomi, lembaga Pengelola Keuangan Desa</t>
  </si>
  <si>
    <t xml:space="preserve">SKOR Keberadaan Layanan Fasilitas Kredit Berupa KKP-E </t>
  </si>
  <si>
    <t>Kemenkop UKM, Kemenkeu, OJK, Kemendesa PDTT, Bank Pemerintah, Lembaga Keuangan Mikro</t>
  </si>
  <si>
    <t xml:space="preserve">SKOR Keberadaan Layanan Fasilitas Kredit Berupa KUK </t>
  </si>
  <si>
    <t>Kemenkop UKM, Kemenkeu, OJK, Kemendesa PDTT, Bank Pemeintah, Lembaga Keuangan Mikro</t>
  </si>
  <si>
    <t>Pemdes, Lembaga Ekonomi Desa</t>
  </si>
  <si>
    <t>SKOR Status Layanan Fasilitas Kredit di Desa</t>
  </si>
  <si>
    <t>Kemenkeu, Kemenkop UKM, OJK, Bank Pemerintah, Lembaga Keuangan Mikro,lembaga Pembiayaan</t>
  </si>
  <si>
    <t>LINGKUNGAN</t>
  </si>
  <si>
    <t>4.A</t>
  </si>
  <si>
    <t>SUB-DIMENSI PENGELOLAAN LINGKUNGAN</t>
  </si>
  <si>
    <t>Kearifan Lingkungan</t>
  </si>
  <si>
    <t>SKOR Terdapat upaya menjaga/mempertahankan/melestarikan kearifan lingkungan berupa atraksi alam/sumberdaya alam/keindahan alam yang ada di desa</t>
  </si>
  <si>
    <t>2.5.02 Pengelolaan Lingkungan Hidup</t>
  </si>
  <si>
    <t>KLHK,
Kemenparekraf,
Kemendesa PDTT,
Bappenas</t>
  </si>
  <si>
    <t>Dinas Lingkungan Hidup Provinsi,
Dinas Pariwisata Provinsi,
Bappeda Provinsi</t>
  </si>
  <si>
    <t>Dinas Lingkungan Hidup Kab/Kota,
Dinas Pariwisata Kab/Kota</t>
  </si>
  <si>
    <t>Pemerintah Desa,
Pokdarwis</t>
  </si>
  <si>
    <t>LSM,
Swasta,
BUMDes,
Akademisi</t>
  </si>
  <si>
    <t>SKOR Terdapat peraturan/regulasi yang mengatur terkait pelestarian lingkungan di Desa</t>
  </si>
  <si>
    <t>2.5.03 Pelatihan/Sosialisasi/Penyuluhan/Penyadaran tentang Lingkungan Hidup dan Kehutanan
1.4.06 Penyusunan kebijakan desa</t>
  </si>
  <si>
    <t>KLHK,
Kemendagri,
Kemendesa PDTT
Bappenas,
BSN</t>
  </si>
  <si>
    <t>Dinas Lingkungan Hidup Provinsi,
Dinas Pemerdayaan Masyarakat Desa Provinsi</t>
  </si>
  <si>
    <t>Dinas Lingkungan Hidup Kab/Kota,
Dinas Pemberdayaan Masyarakat Kab/Kota</t>
  </si>
  <si>
    <t>Pemerintah Desa,
BPD,
Lembaga Masyarakat Adat</t>
  </si>
  <si>
    <t>LSM,
Swasta,
Akademisi</t>
  </si>
  <si>
    <t>SKOR Terdapat kegiatan pelestarian lingkungan berbasis kearifan lokal di bidang lingkungan di Desa</t>
  </si>
  <si>
    <t xml:space="preserve">2.5.02 Pengelolaan Lingkungan Hidup
2.5.03 Pelatihan/ Sosialisasi/ Penyuluhan/ Penyadaran tentang Lingkungan Hidup dan Kehutanan
</t>
  </si>
  <si>
    <t>Dinas Lingkungan Hidup Provinsi,
Dinas Pariwisata Provinsi,
Dinas Kebuudayaan Provinsi</t>
  </si>
  <si>
    <t>Dinas Lingkungan Hidup Kab/Kota,
Dinas Pemberdayaan Masyarakat dan Desa (DPMD) Kab/Kota</t>
  </si>
  <si>
    <t>Pemerintah Desa,
Lembaga Masyarakat Adat</t>
  </si>
  <si>
    <t>BUMDes,
LSM,
Swasta,
Akademisi</t>
  </si>
  <si>
    <t>SKOR Terdapat pemanfaatan Energi Baru Terbarukan di desa</t>
  </si>
  <si>
    <t>2.7.02 Pembangunan/Rehabilitasi/Peningkatan Sarana dan Prasarana Energi Alternatif tingkat Desa**
2.7.01 Pemeliharaan Sarana dan Prasarana Energi Alternatif tingkat Desa</t>
  </si>
  <si>
    <t>Kementerian ESDM,
Kemendesa PDTT,
KLHK, Bappenas, BPPT</t>
  </si>
  <si>
    <t>Dinas ESDM Provinsi,
Dinas Lingkungan Hidup Provinsi</t>
  </si>
  <si>
    <t>Dinas ESDM Kab/Kota,
Dinas Pemberdayaan Masyarakat dan Desa Kab/Kota</t>
  </si>
  <si>
    <t>Pemerintah Desa,
Kelompok Masyarakat</t>
  </si>
  <si>
    <t>BUMDesa,
Swasta,
Akademisi</t>
  </si>
  <si>
    <t>Sistem Pengelolaan Sampah</t>
  </si>
  <si>
    <t>SKOR Ketersediaan Tempat Penampuangan Pembuangan Sampah di Desa</t>
  </si>
  <si>
    <t>2.4.15 Pembangunan/Rehabilitasi/Peningkatan Fasilitas Pengelolaan Sampah Desa/Permukiman (Penampungan, Bank Sampah, dll) **</t>
  </si>
  <si>
    <t>KLHK,
Kemendesa PDTT,
Bappenas</t>
  </si>
  <si>
    <t>Dinas Lingkungan Hidup Provinsi,
Bappeda Provinsi,
Dinas Pemberdayaan Masyarakat dan Desa (DPMD) Provinsi</t>
  </si>
  <si>
    <t>Dinas Lingkungan Hidup Kabupaten/Kota,
Dinas Pemberdayaan Masyarakat dan Desa (DPMD) Kabupaten/Kota</t>
  </si>
  <si>
    <t xml:space="preserve">Pemerintah Desa,
</t>
  </si>
  <si>
    <t>BUMDesa,
LSM,
Swasta,
Akademisi</t>
  </si>
  <si>
    <t>SKOR Ketersediaan Pengolahan Sampah di desa</t>
  </si>
  <si>
    <t>KLHK,
Kemendagri,
Kemendesa PDTT,
Bappenas,
BPPT</t>
  </si>
  <si>
    <t>Dinas Lingkungan Hidup Provinsi,
Dinas Pemberdayaan Masyarakat dan Desa (DPMD) Provinsi</t>
  </si>
  <si>
    <t>Pemerintah Desa,
Lembaga Masyarakat Desa,
BPD</t>
  </si>
  <si>
    <t>SKOR Ketersediaan Pemanfaatan Sampah di desa</t>
  </si>
  <si>
    <t>Pemerintah Desa</t>
  </si>
  <si>
    <t>Swasta,
LSM,
BUMDesa
Akademisi</t>
  </si>
  <si>
    <t>Tingkat Pencemaran Lingkungan</t>
  </si>
  <si>
    <t>SKOR Rata-rata kejadian pencemaran lingkungan</t>
  </si>
  <si>
    <t>2.4.15 Pembangunan/Rehabilitasi/Peningkatan Fasilitas Pengelolaan Sampah Desa/Permukiman (Penampungan, Bank Sampah, dll) **
2.4.16 Pembuangan/Rehabilitasi/Peningkatan Sistem Pembuangan Air Limbah (Drainease, Air Limbah Rumah Tangga)**</t>
  </si>
  <si>
    <t>KLHK,
Kemendesa PDTT,
Kementerian Perindustrian,
Kementerian ESDM,
Bappenas,
BPPT</t>
  </si>
  <si>
    <t>Dinas Lingkungan Hidup Provinsi,
Dinas Perindustrian dan Perdagangan Provinsi</t>
  </si>
  <si>
    <t>Dinas Lingkungan Hidup Kab/Kota,
Dinas Kesehatan Kab/Kota,
Dinas Perindustrian dan Perdagangan Kab/Kota</t>
  </si>
  <si>
    <t>LSM,
BUMDesa.
Swasta,
Akademisi</t>
  </si>
  <si>
    <t>Rumah Tangga Dengan Akses Sanitasi (Air Limbah Domestik) Aman</t>
  </si>
  <si>
    <t xml:space="preserve"> </t>
  </si>
  <si>
    <t>SKOR Ketersediaan dan kepemilikan Jamban di Desa</t>
  </si>
  <si>
    <t>2.4.14 Pembangunan / Rehabilitasi / Peningkatan Fasilitas Jamban Umum / MCK Umum**</t>
  </si>
  <si>
    <t>KLHK,
Kementerian Perindustrian,
Kementerian ESDM,
Kemendesa PDTT,
Bappenas,
BPPT</t>
  </si>
  <si>
    <t>Dinas Kesehatan Provinsi,
Dinas Pemberdayaan Masyarakat dan Desa (DPMD) Provinsi</t>
  </si>
  <si>
    <t>Dinas Kesehatan Kabupaten/Kota,
Dinas Pemberdayaan Masyarakat dan Desa (DPMD) Kabupaten/Kota</t>
  </si>
  <si>
    <t>Pemerintah Desa,
BPD,
Lembaga Masyarakat Desa</t>
  </si>
  <si>
    <t>Swasta,
BUMDesa,
Akademisi</t>
  </si>
  <si>
    <t>SKOR Keberfungsian jamban</t>
  </si>
  <si>
    <t>2.4.06 Pemeliharaan Fasilitas Jamban Umum / MCK Umum, dll</t>
  </si>
  <si>
    <t>KLHK,
Kemendesa Perindustrian,
Kementerian ESDM,
Kemendesa PDTT,
Bappenas,
BPPT</t>
  </si>
  <si>
    <t>Dinas Lingkungan Hidup Kabupaten/Kota,
Dinas Kesehatan Kabupaten/Kota,
Dinas Perindustrian dan Perdagangan Kabupaten/Kota</t>
  </si>
  <si>
    <t>SKOR Ketersediaan Tangki Septik (Komunal/ Bersama)</t>
  </si>
  <si>
    <t>Kementerian PUPR,
Kementerian Kesehatan,
Kemendesa PDTT,
Bappenas,
BPPT</t>
  </si>
  <si>
    <t>Dinas Perkim Provinsi,
Dinas Kesehatan Provinsi</t>
  </si>
  <si>
    <t>Dinas Kesehatan Kabupaten/Kota,
Dinas PUPR Kabupaten/Kota,
Dinas Lingkungan Hidup Kabupaten/Kota</t>
  </si>
  <si>
    <t>SKOR Keberfungsian Tangki Septik</t>
  </si>
  <si>
    <t>SKOR Pembuangan Air Limbah Cair Rumah</t>
  </si>
  <si>
    <t>2.4.16 Pembangunan / Rehabilitasi / Peningkatan Sistem Pembuangan Air Limbah (Drainase. Air Limbah RT)**
2.4.08 Pemeliharanaan Sistem Pembuangan Air Limbah (Drainase Air Limbah RT)</t>
  </si>
  <si>
    <t>4.B</t>
  </si>
  <si>
    <t>SUB-DIMENSI PENANGGULANGAN BENCANA</t>
  </si>
  <si>
    <t>Penanggulangan Bencana</t>
  </si>
  <si>
    <t>SKOR Ketersediaan Aspek informasi Kebencanaan</t>
  </si>
  <si>
    <t>"1.3.02 Penyusunan/Pendataan/Pemutakhiran Profil Desa (profil kependudukan dan potensi desa)
2.3.17 Pembuatan/Pemutakhiran Peta Wilayah dan Sosial Desa **
1.4.02 Penyelenggaraan Musyawarah Desa lainnya (musdus, rembug warga, dll., yang bersifat non-reguler sesuai kebutuhan desa)
"1.4.02 Penyelenggaraan Musyawarah Desa lainnya (musdus, rembug warga, dll., yang bersifat non-reguler sesuai kebutuhan desa) "
Melakukan peyebarluasan peringatan bahaya untuk masyarakat Desa (Misal : Pembuatan Poster/Baliho Informasi/Plakat/Pengumuman, dll)</t>
  </si>
  <si>
    <t>Kemendagri,
Kemensos,
Kemenkominfo,
KLHK,
BNPB,
BMKG,
BIG,
LIPI</t>
  </si>
  <si>
    <t>BPBD,
Dinas Komunikasi dan Informatika,
Dinas Lingkungan Hidup Provinsi</t>
  </si>
  <si>
    <t>BPBD Kabupaten/Kota,
Dinas kominfo Kabupaten/Kota,
Dinas Pendidikan Kabupaten/Kota</t>
  </si>
  <si>
    <t>Pemerintah Desa,
Lembaga Masyarakat Desa</t>
  </si>
  <si>
    <t xml:space="preserve">SKOR Ketersediaan Fasilitas Mitigasi Bencana </t>
  </si>
  <si>
    <t>3.1.04 Pelatihan Kesiapsiagaan / Tanggap Bencana Skala Lokal Desa</t>
  </si>
  <si>
    <t>Kemendagri,
Kementerian PUPR,
Kemensos,
Kemenkominfo,
KLHK,
BNPB,
BMKG,
BIG,
LIPI</t>
  </si>
  <si>
    <t>BPBD,
Dinas PUPR Provinsi,
Dinas Lingkungan Hidup Provinsi</t>
  </si>
  <si>
    <t>BPBD Kabupaten/Kota,
Dinas Pertanian Kabupaten/Kota,
Dinas Pendidikan Kabupaten/Kota</t>
  </si>
  <si>
    <t>Pemerintah Desa,
Lembaga Masyarakat Desa,
Relawan Tanggap Bencana</t>
  </si>
  <si>
    <t>SKOR Kemudahan Akses Menuju Fasilitas Mitigasi Bencana</t>
  </si>
  <si>
    <t>2.6.01 Pembuatan Rambu-rambu di Jalan Desa 2.6.05 Pembangunan/Rehabilitasi/Peningkatan/Pengadaan Sarana &amp; Prasarana Transportasi Desa
2.6.04 Pemeliharaan Sarana dan Prasarana Transportasi Desa. 
3.1.05 Penyediaan Pos Kesiapsiagaan Bencana Skala Lokal Desa</t>
  </si>
  <si>
    <t>Kemendagri,
Kementerian PUPR,
Kemensos,
Kemenhub,
BNPB,
BMKG,
BIG,
LIPI</t>
  </si>
  <si>
    <t>BPBD,
Dinas PUPR Provinsi,
Dinas Perhubungan Provinsi</t>
  </si>
  <si>
    <t>BPBD Kabupaten/Kota,
Dinas Perhubungan Kabupaten/Kota,
Dinas PUPR Kabupaten/Kota</t>
  </si>
  <si>
    <t>SKOR Terdapat aktivitas Mitigasi dan atau Rehabilitasi Bencana di Desa</t>
  </si>
  <si>
    <t>3.1.03 Koordinasi Pembinaan Ketentraman, Ketertiban, dan Pelindungan Masyarakat (dengan masyarakat/instansi pemerintah daerah, dll) Skala Lokal Desa
3.1.04 Pelatihan Kesiapsiagaan/Tanggap Bencana Skala Lokal Desa 3.4.04 Pelatihan Pembinaan Lembaga Kemasyarakatan
2.1.03 Penyuluhan dan Pelatihan Pendidikan bagi Masyarakat 
3.1.07 Pelatihan/Penyuluhan/Sosialisasi dibidang hukum dan perlindungan masyarakat</t>
  </si>
  <si>
    <t>Kemendagri,
Kementerian PUPR,
KLHK,
Kemensos,
BNPB,
BMKG,
BIG,
LIPI</t>
  </si>
  <si>
    <t>BPBD Kabupaten/Kota,
Dinas Kesehatan Kabupaten/Kota,
Dinas Pendidikan Kabupaten/Kota</t>
  </si>
  <si>
    <t>SKOR Ketersediaan Fasilitas Aspek Tanggap Darurat Bencana</t>
  </si>
  <si>
    <t>5 Bidang Penanggulangan Bencana, Keadaan Darurat dan Mendesak</t>
  </si>
  <si>
    <t>Kemendagri,
Kementerian PUPR,
Kemenkominfo,
Kemensos,
BNPB,
BMKG,
BIG,
LIPI</t>
  </si>
  <si>
    <t>BPBD,
Dinas PUPR Provinsi,
Dinas Kesehatan Provinsi</t>
  </si>
  <si>
    <t>BPBD Kabupaten/Kota,
Dinas Sosial Kabupaten/Kota,
Dinas Pendidikan Kabupaten/Kota</t>
  </si>
  <si>
    <t>AKSESIBILITAS</t>
  </si>
  <si>
    <t>5.A</t>
  </si>
  <si>
    <t>SUB-DIMENSI KONDISI AKSES JALAN</t>
  </si>
  <si>
    <t>Kondisi Jalan di desa</t>
  </si>
  <si>
    <t>SKOR Jenis Permukaan Jalan sebagian besar di desa</t>
  </si>
  <si>
    <t>2.3.01 Pemeliharaan Jalan Desa
2.3.02 Pemeliharaan Jalan Lingkungan Permukiman /Gang
2.3.03 Pemeliharaan Jalan Usaha Tani</t>
  </si>
  <si>
    <t>Kementerian PUPR,
Kemendesa PDTT,
Kemeterian Perhubungan,
KLHK,
LKPP,
BIG,
BUMN</t>
  </si>
  <si>
    <t>Dinas PUPR Provinsi,
Dinas Perhubungan Provinsi</t>
  </si>
  <si>
    <t>Dinas PUPR Kabupaten/Kota,
Dinas Perhubungan Kabupaten/Kota</t>
  </si>
  <si>
    <t>Pemerintah Desa,
Lembaga Masyarakat Desa,</t>
  </si>
  <si>
    <t>SKOR Kualitas sebagian besar jalan di Desa</t>
  </si>
  <si>
    <t>Kementerian PUPR,
Kemendesa PDTT,
Kemeterian Perhubungan,
KLHK,
BPKP,
BIG,
BUMN</t>
  </si>
  <si>
    <t>Kondisi Penerangan Jalan Utama Desa</t>
  </si>
  <si>
    <t>SKOR Ketersediaan penerangan di jalan-jalan utama di desa</t>
  </si>
  <si>
    <t>2.3.14 Peningkatan Prasarana Jalan Desa</t>
  </si>
  <si>
    <t>Kementerian ESDM,
Kemendesa PDTT,
Kementerian PUPR,
Kemenhub,
PLN,
LKPP,
BUMN</t>
  </si>
  <si>
    <t>Dinas ESDM Provinsi,
Dinas Perhubungan Provinsi,
Dinas PUPR Provinsi</t>
  </si>
  <si>
    <t>SKOR Operasional desa dalam penyediaan penerangan di jalan-jalan utama di desa</t>
  </si>
  <si>
    <t>Kementerian ESDM,
Kemendesa PDTT,
Kemenkeu,
KLHK,
PLN,
BUMN</t>
  </si>
  <si>
    <t>Dinas ESDM Provinsi,
Dinas Perhubungan Provinsi</t>
  </si>
  <si>
    <t>5.B</t>
  </si>
  <si>
    <t>SUB-DIMENSI KEMUDAHAN AKSES</t>
  </si>
  <si>
    <t>Keberadaan Angkutan Perdesaan/Angkutan Lokal/ Sejenis</t>
  </si>
  <si>
    <t>SKOR Keberadaan Angkutan Perdesaan/Angkutan Lokal/ Sejenis di Desa</t>
  </si>
  <si>
    <t>Kemenhub,
Kemendesa PDTT,
Kemenkeu,
Perusahaan Otobus,
BUMN Transportasi</t>
  </si>
  <si>
    <t>SKOR Operasional Angkutan Perdesaan/Angkutan Lokal/Sejenis di Desa</t>
  </si>
  <si>
    <t>Kemenhub,
Kemendesa PDTT,
Kementerian PUPR,
Kemenkeu,
PLN,
BUMN Transportasi</t>
  </si>
  <si>
    <t>Akses Listrik</t>
  </si>
  <si>
    <t>SKOR Ketersediaan Pelayanan Listrik untuk rumah di desa</t>
  </si>
  <si>
    <t>Kementerian ESDM,
Kemendesa PDTT,
Kemenkeu,
PLN,
BUMN Lembaga Energi</t>
  </si>
  <si>
    <t>Dinas PUPR Provinsi,
Dinas ESDM Provinsi</t>
  </si>
  <si>
    <t>Dinas PUPR Kabupaten/Kota,
Dinas ESDM Kabupaten/Kota</t>
  </si>
  <si>
    <t>SKOR Tersedia Lama Durasi layanan Listrik di Desa</t>
  </si>
  <si>
    <t>Kementerian ESDM,
Kemendesa PDTT,
Kemenkeu,
Kementerian PUPR,
PLN,
BUMN Lembaga Energi Terbarukan</t>
  </si>
  <si>
    <t>Layanan Telekomunikasi</t>
  </si>
  <si>
    <t>SKOR Ketersediaan Akses Telepon di sebagian besar wilayah Desa</t>
  </si>
  <si>
    <t>Kemenkominfo,
Kemendesa PDTT,
Kementerian PUPR,
BAKTI,
Lembaga Penyedia Telekomunikasi Nasional</t>
  </si>
  <si>
    <t>Dinas Kominfo Provinsi</t>
  </si>
  <si>
    <t>Dinas Kominfo Kabupaten/Kota,
Dinas PUPR Kabupaten/Kota</t>
  </si>
  <si>
    <t>SKOR Ketersediaan Akses Internet di sebagian besar wilayah Desa</t>
  </si>
  <si>
    <t>2.6.03 Pengelolaan dan Pembuatan Jaringan/Instalisasi Komunikasi dan Informasi Lokal Desa</t>
  </si>
  <si>
    <t>Kemenkominfo,
Kemendesa PDTT,
Kementerian PUPR,
BAKTI,
Lembaga Penyedia Jasa Internet (ISP)</t>
  </si>
  <si>
    <t>Dinas Kominfo Provinsi,
Dinas PUPR Provinsi</t>
  </si>
  <si>
    <t>Dinas Kominfo Kabupaten/Kota,
Dinas Pendidikan dan kebudayaan Kabupaten/Kota</t>
  </si>
  <si>
    <t>TATA KELOLA PEMERINTAHAN DESA</t>
  </si>
  <si>
    <t>6.A</t>
  </si>
  <si>
    <t>SUB-DIMENSI KELEMBAGAAN DAN PELAYANAN DESA</t>
  </si>
  <si>
    <t>Pelaksanaan Pelayanan dan Administrasi Desa</t>
  </si>
  <si>
    <t>SKOR Pelaksanaan Pelayanan dan Administrasi Desa</t>
  </si>
  <si>
    <t xml:space="preserve">1. Bidang Penyelenggaraan Pemerintah Desa 1.3.01 Pelayanan Administrasi umum dan kependudukan (Surat Pengantar / Pelayanan KTP. Akta kelahiran KK dll)
</t>
  </si>
  <si>
    <t>Kemendagri,
Kemendesa PDTT,
Kemenkeu,
BPKP,
Lembaga Administrasi Negara</t>
  </si>
  <si>
    <t>Dinas Kesehatan Provinsi,
BKD Provinsi</t>
  </si>
  <si>
    <t>Dinas Kominfo Kabupaten/Kota,
Dinas PMD Kabupaten/Kota</t>
  </si>
  <si>
    <t>Pemerintah Desa,
BPD,</t>
  </si>
  <si>
    <t>Swasta,
Akademisi</t>
  </si>
  <si>
    <t>Pemanfaatan Teknologi dalam Pelayanan Desa (SPBE)</t>
  </si>
  <si>
    <t>SKOR Publikasi Informasi Pelayanan kepada masyarakat desa</t>
  </si>
  <si>
    <t>1.4.08 Pengembangan Sistem Informasi Desa
2.6.02 Penyelenggaraan Informasi Publik Desa (Poster/Baliho Informasi Penetapan/ LPJ dll)</t>
  </si>
  <si>
    <t>Kemenkominfo,
Kemendesa PDTT,
Kemendagri,
BAKTI,
Komisi Informasi Pusat</t>
  </si>
  <si>
    <t>Dinas Kominfo Provinsi,
Dinas PMD Provinsi</t>
  </si>
  <si>
    <t>SKOR Pelayanan Administrasi untuk masyarakat desa</t>
  </si>
  <si>
    <t>1.3.01 Pelayanan Administrasi umum dan kependudukan (Surat Pengantar / Pelayanan KTP. Akta kelahiran KK dll)</t>
  </si>
  <si>
    <t>Kemenkeu,
Kemendesa PDTT,
Kemendagri,
Lembaga Administrasi Negara,
Komisi Aparatur Sipil Negara</t>
  </si>
  <si>
    <t>Dinas Kominfo Kabupaten/Kota,
Dinas Dukcapil Kabupaten/Kota</t>
  </si>
  <si>
    <t>SKOR Pelayanan Pengaduan untuk masyarakat desa</t>
  </si>
  <si>
    <t>1. Bidang Penyelenggaraan Pemerintah Desa
1.4.08 Pengembangan Sistem Informasi Desa</t>
  </si>
  <si>
    <t>Kemendagri,
Kemendesa PDTT,
Kemenkumham,
KORI,
Komisi Informasi Pusat</t>
  </si>
  <si>
    <t>SKOR Pelayanan Lainnya untuk masyarakat desa</t>
  </si>
  <si>
    <t>1.3.01 Pelayanan Administrasi umum dan kependudukan (Surat Pengantar / Pelayanan KTP. Akta kelahiran KK dll)
1.4.08 Pengembangan Sistem Informasi Desa</t>
  </si>
  <si>
    <t>Kemendagri,
Kemendesa PDTT,
Kemenkes,
BNPB,
BPS</t>
  </si>
  <si>
    <t>Dinas Kesehatan Provinsi,
Dinas Sosial Provinsi</t>
  </si>
  <si>
    <t>Dinas Kesehatan Kabupaten/Kota,
Dinas PMD Kabupaten/Kota</t>
  </si>
  <si>
    <t>Musyawarah Desa</t>
  </si>
  <si>
    <t>SKOR Frekuensi Musyawarah Desa selama setahun terakhir</t>
  </si>
  <si>
    <t>1.4.01 Penyelenggaraan Musyawarah Perencanaan Desa / Pembahasan APBDes
1.4.02 Penyelenggaraan Musyawarah Desa Lainnya (Musdus, rembug warga dll sesuai kebutuhan)</t>
  </si>
  <si>
    <t>Kemendagri,
Kemendesa PDTT,
BPMD,
Bappenas</t>
  </si>
  <si>
    <t>Bappeda Provinsi,
Dinas PMD Provinsi</t>
  </si>
  <si>
    <t>Bappeda Kabupaten/Kota,
Dinas PMD Kabupaten/Kota</t>
  </si>
  <si>
    <t>Swasta,
Akademisi,
LSM</t>
  </si>
  <si>
    <t>SKOR Musyawarah Desa dihadiri oleh unsur masyarakat atau unsur masyarakat lainnya</t>
  </si>
  <si>
    <t>Dinas Pendidikan Provinsi,
Dinas PMD Provinsi</t>
  </si>
  <si>
    <t>Dinas Sosial Kabupaten/Kota,
Dinas PMD Kabupaten/Kota</t>
  </si>
  <si>
    <t>6.B</t>
  </si>
  <si>
    <t>SUB-DIMENSI TATA KELOLA KEUANGAN DESA</t>
  </si>
  <si>
    <t>Pendapatan Asli Desa (PADes) dan Dana Desa</t>
  </si>
  <si>
    <t>SKOR Pendapatan Asli Desa</t>
  </si>
  <si>
    <t>Kemendagri,
Kemendesa PDTT,
Kemenkeu,
BPMD,
BPKP</t>
  </si>
  <si>
    <t>Dinas Parekraf Provinsi,
Dinas PMD Provinsi</t>
  </si>
  <si>
    <t>Dinas Koperasi dan UMKM Kabupaten/Kota,
Dinas PMD Kabupaten/Kota</t>
  </si>
  <si>
    <t>SKOR Peningkatan PADes</t>
  </si>
  <si>
    <t>Kemendagri,
Kemendesa PDTT,
Kemenkeu,
Kemenparekraf,
BPMD,
Bappenas,
BPKP</t>
  </si>
  <si>
    <t>SKOR Ketersediaan Penyertaan Modal dari Dana Desa kepada BUMDesa</t>
  </si>
  <si>
    <t>Kemendagri,
Kemendesa PDTT,
Kemenkeu,
Bappenas,
BPKP</t>
  </si>
  <si>
    <t>Dinas Koperasi dan UMKM Provinsi,
Dinas PMD Provinsi</t>
  </si>
  <si>
    <t>Dinas Keuangan Kabupaten/Kota,
Dinas PMD Kabupaten/Kota</t>
  </si>
  <si>
    <t>Jumlah Kepemilikan dan Produktivitas Aset Desa</t>
  </si>
  <si>
    <t>SKOR Kepemilikan Aset berupa Tanah Desa</t>
  </si>
  <si>
    <t>1.5.01 Sertifikasi Tanah Kas Desa</t>
  </si>
  <si>
    <t>Kementerian ATR/BPN,
Kemendesa PDTT,
Kemendagri,
BPN,
BPKP</t>
  </si>
  <si>
    <t>Dinas Pertanahan dan Tata Ruang Provinsi,
Dinas PMD Provinsi</t>
  </si>
  <si>
    <t xml:space="preserve">Dinas PMD Kabupaten/Kota,
</t>
  </si>
  <si>
    <t>SKOR Kepemilikan Aset berupa Kantor Desa</t>
  </si>
  <si>
    <t>1. Bidang Penyelenggaraan Pemerintah Desa</t>
  </si>
  <si>
    <t>Kemendagri,
Kemendesa PDTT,
Kementerian PUPR,
BPK,
BPKP</t>
  </si>
  <si>
    <t>Dinas PMD Kabupaten/Kota,
Dinas Perumahan, Kawasan Permukiman, dan Pertanahan Kabupaten/Kota</t>
  </si>
  <si>
    <t>Pemerintah Desa,
BPD</t>
  </si>
  <si>
    <t>SKOR Kepemilikan Aset berupa Pasar Desa</t>
  </si>
  <si>
    <t>Kemendagri,
Kemendesa PDTT,
Kementerian Perdagangan,
Kemenkeu,
BPK,
BPKP</t>
  </si>
  <si>
    <t>Dinas Perdagangan dan Koperasi Kabupaten/Kota,
Dinas PMD Kabupaten/Kota</t>
  </si>
  <si>
    <t>SKOR Kepemilikan Aset Lainnya</t>
  </si>
  <si>
    <t>Kemendagri,
Kemendesa PDTT,
Kementerian PUPR,
Kemenkeu,
BPK,
BPKP</t>
  </si>
  <si>
    <t>Dinas Pemuda dan Olahraga atau Kebudayaan Provinsi,
Dinas PMD Provinsi</t>
  </si>
  <si>
    <t>SKOR Produktivitas Kepemilikan Aset Desa</t>
  </si>
  <si>
    <t>Kemendagri,
Kemendesa PDTT,
Kemenparekraf,
Kemenkeu,
Bappenas,
BPKP</t>
  </si>
  <si>
    <t>Dinas Pariwisata dan Kebudayaan Provinsi,
Dinas PMD Provinsi</t>
  </si>
  <si>
    <t>Dinas Koperasi dan UMKM Kabupaten/Kota,
Dinas PMD Kabupaten/Kota,
Dinas Perdagangan atau Perindustrian Kabupaten/Kota</t>
  </si>
  <si>
    <t>SKOR inventarisasi Aset Desa</t>
  </si>
  <si>
    <t>Kemendagri,
Kemendesa PDTT,
Kemenkeu,
BPN,
BPKP,
LKPP</t>
  </si>
  <si>
    <t>Dinas PMD Provinsi</t>
  </si>
  <si>
    <t>Dinas Pertahanan Kabupaten/Kota,
Dinas PMD Kabupaten/Kota,
Dinas Keuangan Daerah Kabupaten/Kota</t>
  </si>
  <si>
    <t>TOTAL SKOR INDEKS DESA</t>
  </si>
  <si>
    <t>STATUS INDEKS DESA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</si>
</sst>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x14ac:knownFonts="1">
    <font>
      <sz val="11"/>
      <color theme="1"/>
      <name val="Calibri"/>
      <family val="2"/>
      <scheme val="minor"/>
    </font>
    <font>
      <sz val="11"/>
      <color theme="1"/>
      <name val="Calibri"/>
      <family val="2"/>
      <scheme val="minor"/>
    </font>
    <font>
      <b/>
      <sz val="12"/>
      <name val="Calibri"/>
      <family val="2"/>
    </font>
    <font>
      <b/>
      <sz val="12"/>
      <name val="Calibri"/>
      <family val="2"/>
      <scheme val="minor"/>
    </font>
    <font>
      <sz val="11"/>
      <name val="Calibri"/>
      <family val="2"/>
      <scheme val="minor"/>
    </font>
    <font>
      <b/>
      <sz val="11"/>
      <name val="Calibri"/>
      <family val="2"/>
    </font>
    <font>
      <sz val="11"/>
      <name val="Calibri"/>
      <family val="2"/>
    </font>
    <font>
      <sz val="11"/>
      <name val="Aptos Narrow"/>
      <family val="2"/>
    </font>
    <font>
      <sz val="11"/>
      <color rgb="FF000000"/>
      <name val="Calibri"/>
      <family val="2"/>
      <scheme val="minor"/>
    </font>
    <font>
      <b/>
      <sz val="11"/>
      <name val="Calibri"/>
      <family val="2"/>
      <scheme val="minor"/>
    </font>
    <font>
      <b/>
      <sz val="14"/>
      <name val="Calibri"/>
      <family val="2"/>
      <scheme val="minor"/>
    </font>
    <font>
      <sz val="11"/>
      <color rgb="FF000000"/>
      <name val="Calibri"/>
      <family val="2"/>
    </font>
  </fonts>
  <fills count="5">
    <fill>
      <patternFill patternType="none"/>
    </fill>
    <fill>
      <patternFill patternType="gray125"/>
    </fill>
    <fill>
      <patternFill patternType="solid">
        <fgColor theme="8" tint="0.39997558519241921"/>
        <bgColor rgb="FFE7E6E6"/>
      </patternFill>
    </fill>
    <fill>
      <patternFill patternType="solid">
        <fgColor theme="8" tint="0.39997558519241921"/>
        <bgColor indexed="64"/>
      </patternFill>
    </fill>
    <fill>
      <patternFill patternType="solid">
        <fgColor theme="0"/>
        <bgColor indexed="64"/>
      </patternFill>
    </fill>
  </fills>
  <borders count="18">
    <border>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diagonal/>
    </border>
    <border>
      <left style="thin">
        <color auto="1"/>
      </left>
      <right/>
      <top/>
      <bottom/>
      <diagonal/>
    </border>
    <border>
      <left/>
      <right style="thin">
        <color auto="1"/>
      </right>
      <top/>
      <bottom/>
      <diagonal/>
    </border>
    <border>
      <left/>
      <right/>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auto="1"/>
      </right>
      <top style="thin">
        <color rgb="FF000000"/>
      </top>
      <bottom style="thin">
        <color rgb="FF000000"/>
      </bottom>
      <diagonal/>
    </border>
    <border>
      <left/>
      <right/>
      <top style="thin">
        <color auto="1"/>
      </top>
      <bottom style="thin">
        <color auto="1"/>
      </bottom>
      <diagonal/>
    </border>
  </borders>
  <cellStyleXfs count="3">
    <xf numFmtId="0" fontId="0" fillId="0" borderId="0"/>
    <xf numFmtId="9" fontId="11" fillId="0" borderId="0" applyFont="0" applyFill="0" applyBorder="0" applyAlignment="0" applyProtection="0"/>
    <xf numFmtId="0" fontId="1" fillId="0" borderId="0"/>
  </cellStyleXfs>
  <cellXfs count="117">
    <xf numFmtId="0" fontId="0" fillId="0" borderId="0" xfId="0"/>
    <xf numFmtId="0" fontId="2" fillId="2" borderId="1" xfId="2" applyFont="1" applyFill="1" applyBorder="1" applyAlignment="1">
      <alignment horizontal="center" vertical="center" wrapText="1"/>
    </xf>
    <xf numFmtId="0" fontId="2" fillId="2" borderId="2" xfId="2" applyFont="1" applyFill="1" applyBorder="1" applyAlignment="1">
      <alignment horizontal="center" vertical="center" wrapText="1"/>
    </xf>
    <xf numFmtId="0" fontId="2" fillId="2" borderId="3" xfId="2" applyFont="1" applyFill="1" applyBorder="1" applyAlignment="1">
      <alignment horizontal="center" vertical="center" wrapText="1"/>
    </xf>
    <xf numFmtId="0" fontId="2" fillId="2" borderId="3" xfId="2" applyFont="1" applyFill="1" applyBorder="1" applyAlignment="1" applyProtection="1">
      <alignment horizontal="center" vertical="center" wrapText="1"/>
      <protection hidden="1"/>
    </xf>
    <xf numFmtId="0" fontId="2" fillId="3" borderId="3" xfId="2" applyFont="1" applyFill="1" applyBorder="1" applyAlignment="1" applyProtection="1">
      <alignment horizontal="center" vertical="center" wrapText="1"/>
      <protection hidden="1"/>
    </xf>
    <xf numFmtId="0" fontId="3" fillId="3" borderId="4" xfId="2" applyFont="1" applyFill="1" applyBorder="1" applyAlignment="1">
      <alignment horizontal="center" vertical="center" wrapText="1"/>
    </xf>
    <xf numFmtId="0" fontId="3" fillId="3" borderId="5" xfId="2" applyFont="1" applyFill="1" applyBorder="1" applyAlignment="1">
      <alignment horizontal="center" vertical="center" wrapText="1"/>
    </xf>
    <xf numFmtId="0" fontId="4" fillId="0" borderId="0" xfId="2" applyFont="1" applyProtection="1">
      <protection hidden="1"/>
    </xf>
    <xf numFmtId="0" fontId="2" fillId="2" borderId="6" xfId="2" applyFont="1" applyFill="1" applyBorder="1" applyAlignment="1">
      <alignment horizontal="center" vertical="center" wrapText="1"/>
    </xf>
    <xf numFmtId="0" fontId="2" fillId="2" borderId="7" xfId="2" applyFont="1" applyFill="1" applyBorder="1" applyAlignment="1">
      <alignment horizontal="center" vertical="center" wrapText="1"/>
    </xf>
    <xf numFmtId="0" fontId="2" fillId="2" borderId="8" xfId="2" applyFont="1" applyFill="1" applyBorder="1" applyAlignment="1">
      <alignment horizontal="center" vertical="center" wrapText="1"/>
    </xf>
    <xf numFmtId="0" fontId="2" fillId="2" borderId="8" xfId="2" applyFont="1" applyFill="1" applyBorder="1" applyAlignment="1" applyProtection="1">
      <alignment horizontal="center" vertical="center" wrapText="1"/>
      <protection hidden="1"/>
    </xf>
    <xf numFmtId="0" fontId="2" fillId="3" borderId="8" xfId="2" applyFont="1" applyFill="1" applyBorder="1" applyAlignment="1" applyProtection="1">
      <alignment horizontal="center" vertical="center" wrapText="1"/>
      <protection hidden="1"/>
    </xf>
    <xf numFmtId="0" fontId="3" fillId="3" borderId="4" xfId="2" applyFont="1" applyFill="1" applyBorder="1" applyAlignment="1">
      <alignment horizontal="center" vertical="center" wrapText="1"/>
    </xf>
    <xf numFmtId="0" fontId="3" fillId="3" borderId="5" xfId="2" applyFont="1" applyFill="1" applyBorder="1" applyAlignment="1">
      <alignment horizontal="center" vertical="center" wrapText="1"/>
    </xf>
    <xf numFmtId="0" fontId="5" fillId="0" borderId="9" xfId="2" applyFont="1" applyBorder="1" applyAlignment="1">
      <alignment horizontal="center" vertical="center" wrapText="1"/>
    </xf>
    <xf numFmtId="0" fontId="6" fillId="0" borderId="4" xfId="2" applyFont="1" applyBorder="1" applyAlignment="1">
      <alignment wrapText="1"/>
    </xf>
    <xf numFmtId="0" fontId="5" fillId="0" borderId="5" xfId="2" applyFont="1" applyBorder="1" applyAlignment="1">
      <alignment horizontal="center" vertical="center" wrapText="1"/>
    </xf>
    <xf numFmtId="0" fontId="5" fillId="0" borderId="5" xfId="2" applyFont="1" applyBorder="1" applyAlignment="1" applyProtection="1">
      <alignment horizontal="center" vertical="center" wrapText="1"/>
      <protection hidden="1"/>
    </xf>
    <xf numFmtId="0" fontId="5" fillId="0" borderId="1" xfId="2" applyFont="1" applyBorder="1" applyAlignment="1" applyProtection="1">
      <alignment horizontal="center" vertical="center" wrapText="1"/>
      <protection hidden="1"/>
    </xf>
    <xf numFmtId="0" fontId="5" fillId="0" borderId="10" xfId="2" applyFont="1" applyBorder="1" applyAlignment="1" applyProtection="1">
      <alignment horizontal="center" vertical="center" wrapText="1"/>
      <protection hidden="1"/>
    </xf>
    <xf numFmtId="0" fontId="4" fillId="0" borderId="10" xfId="2" applyFont="1" applyBorder="1" applyAlignment="1">
      <alignment horizontal="left"/>
    </xf>
    <xf numFmtId="0" fontId="4" fillId="0" borderId="10" xfId="2" applyFont="1" applyBorder="1" applyAlignment="1">
      <alignment horizontal="center"/>
    </xf>
    <xf numFmtId="0" fontId="4" fillId="0" borderId="2" xfId="2" applyFont="1" applyBorder="1" applyAlignment="1">
      <alignment horizontal="center"/>
    </xf>
    <xf numFmtId="0" fontId="5" fillId="0" borderId="11" xfId="2" applyFont="1" applyBorder="1" applyAlignment="1" applyProtection="1">
      <alignment horizontal="center" vertical="center" wrapText="1"/>
      <protection hidden="1"/>
    </xf>
    <xf numFmtId="0" fontId="5" fillId="0" borderId="0" xfId="2" applyFont="1" applyAlignment="1" applyProtection="1">
      <alignment horizontal="center" vertical="center" wrapText="1"/>
      <protection hidden="1"/>
    </xf>
    <xf numFmtId="0" fontId="4" fillId="0" borderId="0" xfId="2" applyFont="1" applyAlignment="1">
      <alignment horizontal="left"/>
    </xf>
    <xf numFmtId="0" fontId="4" fillId="0" borderId="0" xfId="2" applyFont="1" applyAlignment="1">
      <alignment horizontal="center"/>
    </xf>
    <xf numFmtId="0" fontId="4" fillId="0" borderId="12" xfId="2" applyFont="1" applyBorder="1" applyAlignment="1">
      <alignment horizontal="center"/>
    </xf>
    <xf numFmtId="0" fontId="5" fillId="0" borderId="5" xfId="2" applyFont="1" applyBorder="1" applyAlignment="1">
      <alignment horizontal="left" vertical="center" wrapText="1"/>
    </xf>
    <xf numFmtId="0" fontId="5" fillId="0" borderId="6" xfId="2" applyFont="1" applyBorder="1" applyAlignment="1" applyProtection="1">
      <alignment horizontal="center" vertical="center" wrapText="1"/>
      <protection hidden="1"/>
    </xf>
    <xf numFmtId="0" fontId="5" fillId="0" borderId="13" xfId="2" applyFont="1" applyBorder="1" applyAlignment="1" applyProtection="1">
      <alignment horizontal="center" vertical="center" wrapText="1"/>
      <protection hidden="1"/>
    </xf>
    <xf numFmtId="0" fontId="4" fillId="0" borderId="13" xfId="2" applyFont="1" applyBorder="1" applyAlignment="1">
      <alignment horizontal="left"/>
    </xf>
    <xf numFmtId="0" fontId="4" fillId="0" borderId="13" xfId="2" applyFont="1" applyBorder="1" applyAlignment="1">
      <alignment horizontal="center"/>
    </xf>
    <xf numFmtId="0" fontId="4" fillId="0" borderId="7" xfId="2" applyFont="1" applyBorder="1" applyAlignment="1">
      <alignment horizontal="center"/>
    </xf>
    <xf numFmtId="0" fontId="7" fillId="0" borderId="9" xfId="2" applyFont="1" applyBorder="1" applyAlignment="1">
      <alignment horizontal="centerContinuous" vertical="center" wrapText="1"/>
    </xf>
    <xf numFmtId="0" fontId="6" fillId="0" borderId="4" xfId="2" applyFont="1" applyBorder="1" applyAlignment="1">
      <alignment horizontal="centerContinuous" vertical="center" wrapText="1"/>
    </xf>
    <xf numFmtId="0" fontId="6" fillId="0" borderId="5" xfId="2" applyFont="1" applyBorder="1" applyAlignment="1">
      <alignment vertical="center" wrapText="1"/>
    </xf>
    <xf numFmtId="0" fontId="6" fillId="0" borderId="5" xfId="2" applyFont="1" applyBorder="1" applyAlignment="1" applyProtection="1">
      <alignment horizontal="center" vertical="center" wrapText="1"/>
      <protection hidden="1"/>
    </xf>
    <xf numFmtId="0" fontId="6" fillId="0" borderId="5" xfId="2" applyFont="1" applyBorder="1" applyAlignment="1" applyProtection="1">
      <alignment horizontal="left" vertical="center" wrapText="1" indent="1"/>
      <protection hidden="1"/>
    </xf>
    <xf numFmtId="0" fontId="8" fillId="4" borderId="14" xfId="2" applyFont="1" applyFill="1" applyBorder="1" applyAlignment="1">
      <alignment horizontal="left" vertical="top" wrapText="1"/>
    </xf>
    <xf numFmtId="0" fontId="8" fillId="4" borderId="15" xfId="2" applyFont="1" applyFill="1" applyBorder="1" applyAlignment="1">
      <alignment horizontal="left" vertical="top" wrapText="1"/>
    </xf>
    <xf numFmtId="0" fontId="8" fillId="4" borderId="15" xfId="2" applyFont="1" applyFill="1" applyBorder="1" applyAlignment="1">
      <alignment horizontal="center" vertical="top" wrapText="1"/>
    </xf>
    <xf numFmtId="0" fontId="1" fillId="4" borderId="16" xfId="2" applyFill="1" applyBorder="1" applyAlignment="1">
      <alignment horizontal="center" vertical="top" wrapText="1"/>
    </xf>
    <xf numFmtId="0" fontId="4" fillId="0" borderId="0" xfId="2" applyFont="1" applyAlignment="1" applyProtection="1">
      <alignment vertical="center"/>
      <protection hidden="1"/>
    </xf>
    <xf numFmtId="0" fontId="6" fillId="0" borderId="9" xfId="2" applyFont="1" applyBorder="1" applyAlignment="1">
      <alignment horizontal="centerContinuous" vertical="center" wrapText="1"/>
    </xf>
    <xf numFmtId="0" fontId="6" fillId="0" borderId="4" xfId="2" applyFont="1" applyBorder="1" applyAlignment="1">
      <alignment horizontal="center" wrapText="1"/>
    </xf>
    <xf numFmtId="0" fontId="5" fillId="0" borderId="5" xfId="2" applyFont="1" applyBorder="1" applyAlignment="1">
      <alignment vertical="center" wrapText="1"/>
    </xf>
    <xf numFmtId="0" fontId="5" fillId="0" borderId="9" xfId="2" applyFont="1" applyBorder="1" applyAlignment="1" applyProtection="1">
      <alignment horizontal="center" vertical="center" wrapText="1"/>
      <protection hidden="1"/>
    </xf>
    <xf numFmtId="0" fontId="5" fillId="0" borderId="17" xfId="2" applyFont="1" applyBorder="1" applyAlignment="1" applyProtection="1">
      <alignment horizontal="center" vertical="center" wrapText="1"/>
      <protection hidden="1"/>
    </xf>
    <xf numFmtId="0" fontId="5" fillId="0" borderId="17" xfId="2" applyFont="1" applyBorder="1" applyAlignment="1" applyProtection="1">
      <alignment horizontal="left" vertical="center" wrapText="1" indent="1"/>
      <protection hidden="1"/>
    </xf>
    <xf numFmtId="0" fontId="4" fillId="0" borderId="17" xfId="2" applyFont="1" applyBorder="1" applyAlignment="1">
      <alignment horizontal="left" wrapText="1"/>
    </xf>
    <xf numFmtId="0" fontId="4" fillId="0" borderId="17" xfId="2" applyFont="1" applyBorder="1" applyAlignment="1">
      <alignment horizontal="center" wrapText="1"/>
    </xf>
    <xf numFmtId="0" fontId="4" fillId="0" borderId="4" xfId="2" applyFont="1" applyBorder="1" applyAlignment="1">
      <alignment horizontal="center" wrapText="1"/>
    </xf>
    <xf numFmtId="0" fontId="5" fillId="0" borderId="10" xfId="2" applyFont="1" applyBorder="1" applyAlignment="1" applyProtection="1">
      <alignment horizontal="left" vertical="center" wrapText="1" indent="1"/>
      <protection hidden="1"/>
    </xf>
    <xf numFmtId="0" fontId="4" fillId="0" borderId="10" xfId="2" applyFont="1" applyBorder="1" applyAlignment="1">
      <alignment horizontal="left" wrapText="1"/>
    </xf>
    <xf numFmtId="0" fontId="4" fillId="0" borderId="10" xfId="2" applyFont="1" applyBorder="1" applyAlignment="1">
      <alignment horizontal="center" wrapText="1"/>
    </xf>
    <xf numFmtId="0" fontId="4" fillId="0" borderId="2" xfId="2" applyFont="1" applyBorder="1" applyAlignment="1">
      <alignment horizontal="center" wrapText="1"/>
    </xf>
    <xf numFmtId="0" fontId="5" fillId="0" borderId="13" xfId="2" applyFont="1" applyBorder="1" applyAlignment="1" applyProtection="1">
      <alignment horizontal="left" vertical="center" wrapText="1" indent="1"/>
      <protection hidden="1"/>
    </xf>
    <xf numFmtId="0" fontId="4" fillId="0" borderId="13" xfId="2" applyFont="1" applyBorder="1" applyAlignment="1">
      <alignment horizontal="left" wrapText="1"/>
    </xf>
    <xf numFmtId="0" fontId="4" fillId="0" borderId="13" xfId="2" applyFont="1" applyBorder="1" applyAlignment="1">
      <alignment horizontal="center" wrapText="1"/>
    </xf>
    <xf numFmtId="0" fontId="4" fillId="0" borderId="7" xfId="2" applyFont="1" applyBorder="1" applyAlignment="1">
      <alignment horizontal="center" wrapText="1"/>
    </xf>
    <xf numFmtId="0" fontId="1" fillId="4" borderId="14" xfId="2" applyFill="1" applyBorder="1" applyAlignment="1">
      <alignment horizontal="left" vertical="top" wrapText="1"/>
    </xf>
    <xf numFmtId="0" fontId="1" fillId="4" borderId="15" xfId="2" applyFill="1" applyBorder="1" applyAlignment="1">
      <alignment horizontal="left" vertical="top" wrapText="1"/>
    </xf>
    <xf numFmtId="0" fontId="8" fillId="4" borderId="15" xfId="2" applyFont="1" applyFill="1" applyBorder="1" applyAlignment="1">
      <alignment horizontal="left" vertical="top" wrapText="1" readingOrder="1"/>
    </xf>
    <xf numFmtId="0" fontId="1" fillId="4" borderId="15" xfId="2" applyFill="1" applyBorder="1" applyAlignment="1">
      <alignment horizontal="center" vertical="top" wrapText="1"/>
    </xf>
    <xf numFmtId="0" fontId="4" fillId="0" borderId="5" xfId="2" applyFont="1" applyBorder="1" applyAlignment="1" applyProtection="1">
      <alignment horizontal="center" vertical="center" wrapText="1"/>
      <protection hidden="1"/>
    </xf>
    <xf numFmtId="0" fontId="5" fillId="0" borderId="9" xfId="2" applyFont="1" applyBorder="1" applyAlignment="1">
      <alignment horizontal="center" vertical="center"/>
    </xf>
    <xf numFmtId="0" fontId="6" fillId="0" borderId="4" xfId="2" applyFont="1" applyBorder="1" applyAlignment="1">
      <alignment horizontal="center"/>
    </xf>
    <xf numFmtId="0" fontId="5" fillId="0" borderId="9" xfId="2" applyFont="1" applyBorder="1" applyAlignment="1">
      <alignment horizontal="centerContinuous" vertical="center"/>
    </xf>
    <xf numFmtId="0" fontId="6" fillId="0" borderId="4" xfId="2" applyFont="1" applyBorder="1" applyAlignment="1">
      <alignment horizontal="centerContinuous" vertical="center"/>
    </xf>
    <xf numFmtId="0" fontId="6" fillId="0" borderId="9" xfId="2" applyFont="1" applyBorder="1" applyAlignment="1">
      <alignment horizontal="centerContinuous" vertical="center"/>
    </xf>
    <xf numFmtId="0" fontId="7" fillId="0" borderId="9" xfId="2" applyFont="1" applyBorder="1" applyAlignment="1">
      <alignment horizontal="centerContinuous" vertical="center"/>
    </xf>
    <xf numFmtId="0" fontId="9" fillId="0" borderId="5" xfId="2" applyFont="1" applyBorder="1" applyAlignment="1" applyProtection="1">
      <alignment horizontal="center" vertical="center" wrapText="1"/>
      <protection hidden="1"/>
    </xf>
    <xf numFmtId="0" fontId="9" fillId="0" borderId="9" xfId="2" applyFont="1" applyBorder="1" applyAlignment="1" applyProtection="1">
      <alignment horizontal="center" vertical="center"/>
      <protection hidden="1"/>
    </xf>
    <xf numFmtId="0" fontId="9" fillId="0" borderId="17" xfId="2" applyFont="1" applyBorder="1" applyAlignment="1" applyProtection="1">
      <alignment horizontal="center" vertical="center"/>
      <protection hidden="1"/>
    </xf>
    <xf numFmtId="0" fontId="9" fillId="0" borderId="17" xfId="2" applyFont="1" applyBorder="1" applyAlignment="1" applyProtection="1">
      <alignment horizontal="left" vertical="center" indent="1"/>
      <protection hidden="1"/>
    </xf>
    <xf numFmtId="0" fontId="4" fillId="0" borderId="5" xfId="2" applyFont="1" applyBorder="1" applyAlignment="1">
      <alignment horizontal="center" vertical="center" wrapText="1"/>
    </xf>
    <xf numFmtId="0" fontId="5" fillId="0" borderId="0" xfId="2" applyFont="1" applyAlignment="1" applyProtection="1">
      <alignment horizontal="left" vertical="center" wrapText="1" indent="1"/>
      <protection hidden="1"/>
    </xf>
    <xf numFmtId="0" fontId="4" fillId="0" borderId="0" xfId="2" applyFont="1" applyAlignment="1">
      <alignment horizontal="left" wrapText="1"/>
    </xf>
    <xf numFmtId="0" fontId="4" fillId="0" borderId="0" xfId="2" applyFont="1" applyAlignment="1">
      <alignment horizontal="center" wrapText="1"/>
    </xf>
    <xf numFmtId="0" fontId="4" fillId="0" borderId="12" xfId="2" applyFont="1" applyBorder="1" applyAlignment="1">
      <alignment horizontal="center" wrapText="1"/>
    </xf>
    <xf numFmtId="0" fontId="5" fillId="0" borderId="6" xfId="2" applyFont="1" applyBorder="1" applyAlignment="1" applyProtection="1">
      <alignment horizontal="center" vertical="center"/>
      <protection hidden="1"/>
    </xf>
    <xf numFmtId="0" fontId="5" fillId="0" borderId="13" xfId="2" applyFont="1" applyBorder="1" applyAlignment="1" applyProtection="1">
      <alignment horizontal="center" vertical="center"/>
      <protection hidden="1"/>
    </xf>
    <xf numFmtId="0" fontId="5" fillId="0" borderId="13" xfId="2" applyFont="1" applyBorder="1" applyAlignment="1" applyProtection="1">
      <alignment horizontal="left" vertical="center" indent="1"/>
      <protection hidden="1"/>
    </xf>
    <xf numFmtId="0" fontId="6" fillId="0" borderId="5" xfId="2" applyFont="1" applyBorder="1" applyAlignment="1">
      <alignment horizontal="left" vertical="center" wrapText="1"/>
    </xf>
    <xf numFmtId="0" fontId="4" fillId="0" borderId="4" xfId="2" applyFont="1" applyBorder="1" applyAlignment="1">
      <alignment horizontal="left" vertical="center" wrapText="1"/>
    </xf>
    <xf numFmtId="0" fontId="4" fillId="0" borderId="5" xfId="2" applyFont="1" applyBorder="1" applyAlignment="1">
      <alignment horizontal="left" vertical="center" wrapText="1"/>
    </xf>
    <xf numFmtId="0" fontId="5" fillId="0" borderId="9" xfId="2" applyFont="1" applyBorder="1" applyAlignment="1" applyProtection="1">
      <alignment horizontal="center" vertical="center"/>
      <protection hidden="1"/>
    </xf>
    <xf numFmtId="0" fontId="5" fillId="0" borderId="17" xfId="2" applyFont="1" applyBorder="1" applyAlignment="1" applyProtection="1">
      <alignment horizontal="center" vertical="center"/>
      <protection hidden="1"/>
    </xf>
    <xf numFmtId="0" fontId="5" fillId="0" borderId="17" xfId="2" applyFont="1" applyBorder="1" applyAlignment="1" applyProtection="1">
      <alignment horizontal="left" vertical="center" indent="1"/>
      <protection hidden="1"/>
    </xf>
    <xf numFmtId="0" fontId="1" fillId="0" borderId="0" xfId="2" applyAlignment="1">
      <alignment horizontal="left" vertical="center" wrapText="1"/>
    </xf>
    <xf numFmtId="0" fontId="5" fillId="0" borderId="5" xfId="2" applyFont="1" applyBorder="1" applyAlignment="1" applyProtection="1">
      <alignment horizontal="center" vertical="center"/>
      <protection hidden="1"/>
    </xf>
    <xf numFmtId="0" fontId="5" fillId="0" borderId="5" xfId="2" applyFont="1" applyBorder="1" applyAlignment="1" applyProtection="1">
      <alignment horizontal="left" vertical="center" indent="1"/>
      <protection hidden="1"/>
    </xf>
    <xf numFmtId="0" fontId="4" fillId="0" borderId="4" xfId="2" applyFont="1" applyBorder="1" applyAlignment="1">
      <alignment horizontal="left" wrapText="1"/>
    </xf>
    <xf numFmtId="0" fontId="4" fillId="0" borderId="5" xfId="2" applyFont="1" applyBorder="1" applyAlignment="1">
      <alignment horizontal="left" wrapText="1"/>
    </xf>
    <xf numFmtId="0" fontId="4" fillId="0" borderId="5" xfId="2" applyFont="1" applyBorder="1" applyAlignment="1">
      <alignment horizontal="center" wrapText="1"/>
    </xf>
    <xf numFmtId="0" fontId="4" fillId="0" borderId="0" xfId="2" applyFont="1" applyAlignment="1" applyProtection="1">
      <alignment horizontal="left"/>
      <protection hidden="1"/>
    </xf>
    <xf numFmtId="0" fontId="4" fillId="0" borderId="0" xfId="2" applyFont="1" applyAlignment="1" applyProtection="1">
      <alignment horizontal="center"/>
      <protection hidden="1"/>
    </xf>
    <xf numFmtId="1" fontId="4" fillId="0" borderId="5" xfId="2" applyNumberFormat="1" applyFont="1" applyBorder="1" applyAlignment="1" applyProtection="1">
      <alignment horizontal="center" vertical="center" wrapText="1"/>
      <protection hidden="1"/>
    </xf>
    <xf numFmtId="0" fontId="5" fillId="0" borderId="5" xfId="2" applyFont="1" applyBorder="1" applyAlignment="1" applyProtection="1">
      <alignment horizontal="left" vertical="center" wrapText="1" indent="1"/>
      <protection hidden="1"/>
    </xf>
    <xf numFmtId="0" fontId="9" fillId="0" borderId="17" xfId="2" applyFont="1" applyBorder="1" applyAlignment="1" applyProtection="1">
      <alignment horizontal="left" vertical="center" wrapText="1" indent="1"/>
      <protection hidden="1"/>
    </xf>
    <xf numFmtId="0" fontId="5" fillId="0" borderId="1" xfId="2" applyFont="1" applyBorder="1" applyAlignment="1" applyProtection="1">
      <alignment horizontal="center" vertical="center"/>
      <protection hidden="1"/>
    </xf>
    <xf numFmtId="0" fontId="5" fillId="0" borderId="10" xfId="2" applyFont="1" applyBorder="1" applyAlignment="1" applyProtection="1">
      <alignment horizontal="center" vertical="center"/>
      <protection hidden="1"/>
    </xf>
    <xf numFmtId="1" fontId="6" fillId="0" borderId="5" xfId="2" applyNumberFormat="1" applyFont="1" applyBorder="1" applyAlignment="1" applyProtection="1">
      <alignment horizontal="center" vertical="center" wrapText="1"/>
      <protection hidden="1"/>
    </xf>
    <xf numFmtId="0" fontId="6" fillId="0" borderId="0" xfId="2" applyFont="1" applyAlignment="1" applyProtection="1">
      <alignment horizontal="center" vertical="center"/>
      <protection hidden="1"/>
    </xf>
    <xf numFmtId="0" fontId="6" fillId="0" borderId="0" xfId="2" applyFont="1" applyAlignment="1" applyProtection="1">
      <alignment vertical="center" wrapText="1"/>
      <protection hidden="1"/>
    </xf>
    <xf numFmtId="0" fontId="4" fillId="0" borderId="0" xfId="2" applyFont="1" applyAlignment="1" applyProtection="1">
      <alignment horizontal="center" vertical="center" wrapText="1"/>
      <protection hidden="1"/>
    </xf>
    <xf numFmtId="0" fontId="6" fillId="0" borderId="0" xfId="2" applyFont="1" applyAlignment="1" applyProtection="1">
      <alignment horizontal="center" vertical="center" wrapText="1"/>
      <protection hidden="1"/>
    </xf>
    <xf numFmtId="0" fontId="6" fillId="0" borderId="0" xfId="2" applyFont="1" applyAlignment="1" applyProtection="1">
      <alignment horizontal="left" vertical="center" wrapText="1" indent="1"/>
      <protection hidden="1"/>
    </xf>
    <xf numFmtId="0" fontId="4" fillId="0" borderId="0" xfId="2" applyFont="1" applyAlignment="1" applyProtection="1">
      <alignment horizontal="left" vertical="center"/>
      <protection hidden="1"/>
    </xf>
    <xf numFmtId="0" fontId="4" fillId="0" borderId="0" xfId="2" applyFont="1" applyAlignment="1" applyProtection="1">
      <alignment horizontal="center" vertical="center"/>
      <protection hidden="1"/>
    </xf>
    <xf numFmtId="0" fontId="10" fillId="0" borderId="0" xfId="2" applyFont="1" applyAlignment="1" applyProtection="1">
      <alignment horizontal="center" vertical="center"/>
      <protection hidden="1"/>
    </xf>
    <xf numFmtId="0" fontId="10" fillId="0" borderId="0" xfId="2" applyFont="1" applyAlignment="1" applyProtection="1">
      <alignment horizontal="center" vertical="center" wrapText="1"/>
      <protection hidden="1"/>
    </xf>
    <xf numFmtId="10" fontId="10" fillId="0" borderId="0" xfId="1" applyNumberFormat="1" applyFont="1" applyAlignment="1" applyProtection="1">
      <alignment horizontal="center" vertical="center" wrapText="1"/>
      <protection hidden="1"/>
    </xf>
    <xf numFmtId="0" fontId="4" fillId="0" borderId="0" xfId="2" applyFont="1" applyAlignment="1" applyProtection="1">
      <alignment vertical="center" wrapText="1"/>
      <protection hidden="1"/>
    </xf>
  </cellXfs>
  <cellStyles count="3">
    <cellStyle name="Normal" xfId="0" builtinId="0"/>
    <cellStyle name="Normal 4" xfId="2" xr:uid="{256C8636-62AD-4DCA-81A5-F47947BAAA4D}"/>
    <cellStyle name="Percent" xfId="1" builtinId="5"/>
  </cellStyles>
  <dxfs count="1">
    <dxf>
      <font>
        <b/>
        <i val="0"/>
        <color rgb="FFFF0000"/>
      </font>
    </dxf>
  </dxfs>
  <tableStyles count="1" defaultTableStyle="TableStyleMedium2" defaultPivotStyle="PivotStyleLight16">
    <tableStyle name="Invisible" pivot="0" table="0" count="0" xr9:uid="{95148A0D-EF1A-4104-856F-9561DCC4C7C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affa\Downloads\KUESIONER_ID_2026%20Lock.xlsx" TargetMode="External"/><Relationship Id="rId1" Type="http://schemas.openxmlformats.org/officeDocument/2006/relationships/externalLinkPath" Target="KUESIONER_ID_2026%20Loc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UMUSAN (2)"/>
      <sheetName val="PERSETUJUAN"/>
      <sheetName val="INPUTAN DESA 2026"/>
      <sheetName val="ISU DESA dan PERDESAAN 26"/>
      <sheetName val="Tambahan 2026"/>
      <sheetName val="RUMUSAN"/>
      <sheetName val="DOKUMEN_PROPERTIES"/>
    </sheetNames>
    <sheetDataSet>
      <sheetData sheetId="0"/>
      <sheetData sheetId="1"/>
      <sheetData sheetId="2">
        <row r="10">
          <cell r="H10" t="str">
            <v>-</v>
          </cell>
        </row>
        <row r="11">
          <cell r="H11" t="str">
            <v>Sekretaris</v>
          </cell>
        </row>
        <row r="12">
          <cell r="H12" t="str">
            <v>Kepala Urusan</v>
          </cell>
        </row>
        <row r="13">
          <cell r="H13" t="str">
            <v>Kepala Seksi</v>
          </cell>
        </row>
        <row r="14">
          <cell r="H14" t="str">
            <v>Kepala Dusun/ Kepala Pelaksana Kewilayahan</v>
          </cell>
        </row>
        <row r="19">
          <cell r="H19" t="str">
            <v>Laki-laki</v>
          </cell>
        </row>
        <row r="20">
          <cell r="H20" t="str">
            <v>Perempuan</v>
          </cell>
        </row>
        <row r="22">
          <cell r="H22" t="str">
            <v>Kepala Desa</v>
          </cell>
        </row>
        <row r="23">
          <cell r="H23" t="str">
            <v>Plt Kades</v>
          </cell>
        </row>
        <row r="24">
          <cell r="H24" t="str">
            <v>Sekreatris Desa</v>
          </cell>
        </row>
        <row r="25">
          <cell r="H25" t="str">
            <v>KAUR Umum</v>
          </cell>
        </row>
        <row r="26">
          <cell r="H26" t="str">
            <v>KAUR Keuangan</v>
          </cell>
        </row>
        <row r="27">
          <cell r="H27" t="str">
            <v>KAUR Perencanaan</v>
          </cell>
        </row>
        <row r="28">
          <cell r="H28" t="str">
            <v>KASI Pemerintahan</v>
          </cell>
        </row>
        <row r="29">
          <cell r="H29" t="str">
            <v>KASI Kesejahteraan</v>
          </cell>
        </row>
        <row r="30">
          <cell r="H30" t="str">
            <v>KASI Pelayanan</v>
          </cell>
        </row>
        <row r="32">
          <cell r="H32" t="str">
            <v>Definitif</v>
          </cell>
        </row>
        <row r="33">
          <cell r="H33" t="str">
            <v>Penjabat</v>
          </cell>
        </row>
        <row r="34">
          <cell r="H34" t="str">
            <v>Tidak Ada</v>
          </cell>
        </row>
        <row r="35">
          <cell r="H35" t="str">
            <v>Januari</v>
          </cell>
        </row>
        <row r="36">
          <cell r="H36" t="str">
            <v>Februari</v>
          </cell>
        </row>
        <row r="37">
          <cell r="H37" t="str">
            <v>Maret</v>
          </cell>
        </row>
        <row r="38">
          <cell r="H38" t="str">
            <v>April</v>
          </cell>
        </row>
        <row r="39">
          <cell r="H39" t="str">
            <v>Mei</v>
          </cell>
        </row>
        <row r="40">
          <cell r="H40" t="str">
            <v>Juni</v>
          </cell>
        </row>
        <row r="41">
          <cell r="H41" t="str">
            <v>Juli</v>
          </cell>
        </row>
        <row r="42">
          <cell r="H42" t="str">
            <v>Agustus</v>
          </cell>
        </row>
        <row r="43">
          <cell r="H43" t="str">
            <v>September</v>
          </cell>
        </row>
        <row r="44">
          <cell r="H44" t="str">
            <v>Oktober</v>
          </cell>
        </row>
        <row r="45">
          <cell r="H45" t="str">
            <v>November</v>
          </cell>
        </row>
        <row r="46">
          <cell r="H46" t="str">
            <v>Desember</v>
          </cell>
        </row>
        <row r="50">
          <cell r="F50">
            <v>3</v>
          </cell>
        </row>
        <row r="54">
          <cell r="H54" t="str">
            <v>Diisi</v>
          </cell>
        </row>
        <row r="55">
          <cell r="H55" t="str">
            <v>Tidak diisi</v>
          </cell>
        </row>
        <row r="99">
          <cell r="F99">
            <v>5</v>
          </cell>
        </row>
        <row r="100">
          <cell r="F100">
            <v>5</v>
          </cell>
        </row>
        <row r="101">
          <cell r="F101">
            <v>5</v>
          </cell>
        </row>
        <row r="102">
          <cell r="F102">
            <v>5</v>
          </cell>
        </row>
        <row r="105">
          <cell r="F105">
            <v>5</v>
          </cell>
        </row>
        <row r="109">
          <cell r="F109">
            <v>5</v>
          </cell>
        </row>
        <row r="112">
          <cell r="H112" t="str">
            <v>Ada</v>
          </cell>
        </row>
        <row r="113">
          <cell r="H113" t="str">
            <v>Tidak Ada</v>
          </cell>
        </row>
        <row r="136">
          <cell r="F136">
            <v>5</v>
          </cell>
        </row>
        <row r="144">
          <cell r="F144">
            <v>5</v>
          </cell>
        </row>
        <row r="145">
          <cell r="F145">
            <v>5</v>
          </cell>
        </row>
        <row r="151">
          <cell r="F151">
            <v>5</v>
          </cell>
        </row>
        <row r="152">
          <cell r="F152">
            <v>5</v>
          </cell>
        </row>
        <row r="153">
          <cell r="F153">
            <v>1</v>
          </cell>
        </row>
        <row r="154">
          <cell r="F154">
            <v>5</v>
          </cell>
        </row>
        <row r="155">
          <cell r="F155">
            <v>4</v>
          </cell>
        </row>
        <row r="156">
          <cell r="F156">
            <v>5</v>
          </cell>
        </row>
        <row r="163">
          <cell r="H163" t="str">
            <v>Pemerintah dan Swasta</v>
          </cell>
        </row>
        <row r="164">
          <cell r="H164" t="str">
            <v>Masyarakat</v>
          </cell>
        </row>
        <row r="165">
          <cell r="H165" t="str">
            <v>Pemerintah</v>
          </cell>
        </row>
        <row r="166">
          <cell r="H166" t="str">
            <v>Swasta</v>
          </cell>
        </row>
        <row r="167">
          <cell r="H167" t="str">
            <v>Masyarakat</v>
          </cell>
        </row>
        <row r="168">
          <cell r="H168" t="str">
            <v>Swasta dan Masyarakat</v>
          </cell>
        </row>
        <row r="170">
          <cell r="H170" t="str">
            <v>Pemerintah dan Masyarakat</v>
          </cell>
        </row>
        <row r="171">
          <cell r="F171">
            <v>4</v>
          </cell>
          <cell r="H171" t="str">
            <v>Pemerintah</v>
          </cell>
        </row>
        <row r="172">
          <cell r="H172" t="str">
            <v>Masyarakat</v>
          </cell>
        </row>
        <row r="176">
          <cell r="F176">
            <v>5</v>
          </cell>
        </row>
        <row r="179">
          <cell r="F179">
            <v>3</v>
          </cell>
        </row>
        <row r="186">
          <cell r="H186" t="str">
            <v>Pemerintah dan Swasta</v>
          </cell>
        </row>
        <row r="187">
          <cell r="F187">
            <v>5</v>
          </cell>
          <cell r="H187" t="str">
            <v>Pemerintah dan Masyarakat</v>
          </cell>
        </row>
        <row r="188">
          <cell r="H188" t="str">
            <v>Swasta dan Masyarakat</v>
          </cell>
        </row>
        <row r="189">
          <cell r="H189" t="str">
            <v>Pemerintah</v>
          </cell>
        </row>
        <row r="190">
          <cell r="F190">
            <v>5</v>
          </cell>
          <cell r="H190" t="str">
            <v>Swasta</v>
          </cell>
        </row>
        <row r="191">
          <cell r="H191" t="str">
            <v>Masyarakat</v>
          </cell>
        </row>
        <row r="198">
          <cell r="F198">
            <v>5</v>
          </cell>
        </row>
        <row r="201">
          <cell r="F201">
            <v>5</v>
          </cell>
        </row>
        <row r="209">
          <cell r="F209">
            <v>5</v>
          </cell>
        </row>
        <row r="212">
          <cell r="F212">
            <v>5</v>
          </cell>
        </row>
        <row r="225">
          <cell r="F225">
            <v>5</v>
          </cell>
        </row>
        <row r="233">
          <cell r="H233" t="str">
            <v>Tidak Berfungsi/ Tidak Aktif</v>
          </cell>
        </row>
        <row r="234">
          <cell r="F234">
            <v>5</v>
          </cell>
          <cell r="H234" t="str">
            <v>Berfungsi/ Aktif</v>
          </cell>
        </row>
        <row r="238">
          <cell r="F238">
            <v>5</v>
          </cell>
        </row>
        <row r="240">
          <cell r="F240">
            <v>5</v>
          </cell>
        </row>
        <row r="241">
          <cell r="F241">
            <v>5</v>
          </cell>
        </row>
        <row r="242">
          <cell r="H242">
            <v>5</v>
          </cell>
        </row>
        <row r="243">
          <cell r="H243">
            <v>4</v>
          </cell>
        </row>
        <row r="244">
          <cell r="H244">
            <v>3</v>
          </cell>
        </row>
        <row r="245">
          <cell r="H245">
            <v>2</v>
          </cell>
        </row>
        <row r="246">
          <cell r="F246">
            <v>5</v>
          </cell>
        </row>
        <row r="255">
          <cell r="F255">
            <v>5</v>
          </cell>
        </row>
        <row r="256">
          <cell r="H256">
            <v>1</v>
          </cell>
        </row>
        <row r="257">
          <cell r="H257">
            <v>5</v>
          </cell>
        </row>
        <row r="260">
          <cell r="H260">
            <v>1</v>
          </cell>
        </row>
        <row r="261">
          <cell r="H261">
            <v>3</v>
          </cell>
        </row>
        <row r="262">
          <cell r="H262">
            <v>5</v>
          </cell>
        </row>
        <row r="263">
          <cell r="F263">
            <v>3</v>
          </cell>
        </row>
        <row r="264">
          <cell r="F264">
            <v>5</v>
          </cell>
        </row>
        <row r="265">
          <cell r="F265">
            <v>5</v>
          </cell>
        </row>
        <row r="268">
          <cell r="H268" t="str">
            <v>Pemerintah dan Swasta</v>
          </cell>
        </row>
        <row r="269">
          <cell r="H269" t="str">
            <v>Pemerintah</v>
          </cell>
        </row>
        <row r="270">
          <cell r="H270" t="str">
            <v>Yayasan</v>
          </cell>
        </row>
        <row r="271">
          <cell r="H271" t="str">
            <v>Swasta</v>
          </cell>
        </row>
        <row r="272">
          <cell r="H272" t="str">
            <v>Masyarakat</v>
          </cell>
        </row>
        <row r="273">
          <cell r="F273">
            <v>5</v>
          </cell>
          <cell r="H273" t="str">
            <v>Lainnya</v>
          </cell>
        </row>
        <row r="275">
          <cell r="H275" t="str">
            <v>Kadang-kadang</v>
          </cell>
        </row>
        <row r="276">
          <cell r="H276" t="str">
            <v>Aktif</v>
          </cell>
        </row>
        <row r="280">
          <cell r="F280">
            <v>5</v>
          </cell>
        </row>
        <row r="281">
          <cell r="F281">
            <v>5</v>
          </cell>
        </row>
        <row r="282">
          <cell r="F282">
            <v>5</v>
          </cell>
        </row>
        <row r="290">
          <cell r="F290">
            <v>5</v>
          </cell>
        </row>
        <row r="292">
          <cell r="F292">
            <v>5</v>
          </cell>
        </row>
        <row r="293">
          <cell r="F293">
            <v>5</v>
          </cell>
        </row>
        <row r="294">
          <cell r="F294">
            <v>5</v>
          </cell>
        </row>
        <row r="303">
          <cell r="F303">
            <v>5</v>
          </cell>
        </row>
        <row r="304">
          <cell r="F304">
            <v>5</v>
          </cell>
        </row>
        <row r="313">
          <cell r="F313">
            <v>5</v>
          </cell>
        </row>
        <row r="315">
          <cell r="F315">
            <v>5</v>
          </cell>
        </row>
        <row r="316">
          <cell r="F316">
            <v>5</v>
          </cell>
        </row>
        <row r="318">
          <cell r="F318">
            <v>5</v>
          </cell>
        </row>
        <row r="321">
          <cell r="F321">
            <v>5</v>
          </cell>
        </row>
        <row r="325">
          <cell r="F325">
            <v>5</v>
          </cell>
        </row>
        <row r="327">
          <cell r="F327">
            <v>5</v>
          </cell>
        </row>
        <row r="330">
          <cell r="F330">
            <v>5</v>
          </cell>
        </row>
        <row r="332">
          <cell r="H332">
            <v>3</v>
          </cell>
        </row>
        <row r="333">
          <cell r="H333">
            <v>5</v>
          </cell>
        </row>
        <row r="335">
          <cell r="F335">
            <v>5</v>
          </cell>
        </row>
        <row r="336">
          <cell r="F336">
            <v>5</v>
          </cell>
        </row>
        <row r="347">
          <cell r="F347">
            <v>5</v>
          </cell>
        </row>
        <row r="365">
          <cell r="F365">
            <v>5</v>
          </cell>
        </row>
        <row r="366">
          <cell r="F366">
            <v>5</v>
          </cell>
        </row>
        <row r="367">
          <cell r="F367">
            <v>5</v>
          </cell>
        </row>
        <row r="368">
          <cell r="F368">
            <v>5</v>
          </cell>
        </row>
        <row r="369">
          <cell r="F369">
            <v>5</v>
          </cell>
        </row>
        <row r="371">
          <cell r="F371">
            <v>5</v>
          </cell>
        </row>
        <row r="372">
          <cell r="F372">
            <v>5</v>
          </cell>
        </row>
        <row r="375">
          <cell r="F375">
            <v>5</v>
          </cell>
        </row>
        <row r="376">
          <cell r="F376">
            <v>5</v>
          </cell>
        </row>
        <row r="378">
          <cell r="F378">
            <v>5</v>
          </cell>
        </row>
        <row r="389">
          <cell r="F389">
            <v>5</v>
          </cell>
        </row>
        <row r="401">
          <cell r="F401">
            <v>5</v>
          </cell>
        </row>
        <row r="402">
          <cell r="F402">
            <v>5</v>
          </cell>
        </row>
        <row r="404">
          <cell r="F404">
            <v>5</v>
          </cell>
        </row>
        <row r="405">
          <cell r="F405">
            <v>5</v>
          </cell>
        </row>
        <row r="406">
          <cell r="F406">
            <v>1</v>
          </cell>
        </row>
        <row r="408">
          <cell r="F408">
            <v>1</v>
          </cell>
        </row>
        <row r="411">
          <cell r="F411">
            <v>5</v>
          </cell>
        </row>
        <row r="412">
          <cell r="F412">
            <v>5</v>
          </cell>
        </row>
        <row r="414">
          <cell r="F414">
            <v>5</v>
          </cell>
        </row>
        <row r="415">
          <cell r="F415">
            <v>5</v>
          </cell>
          <cell r="H415" t="str">
            <v>a</v>
          </cell>
        </row>
        <row r="416">
          <cell r="H416" t="str">
            <v>b</v>
          </cell>
        </row>
        <row r="417">
          <cell r="H417" t="str">
            <v>c</v>
          </cell>
        </row>
        <row r="418">
          <cell r="H418" t="str">
            <v>d</v>
          </cell>
        </row>
        <row r="419">
          <cell r="F419">
            <v>5</v>
          </cell>
          <cell r="H419" t="str">
            <v>e</v>
          </cell>
        </row>
        <row r="420">
          <cell r="H420" t="str">
            <v>f</v>
          </cell>
        </row>
        <row r="424">
          <cell r="F424">
            <v>5</v>
          </cell>
        </row>
        <row r="426">
          <cell r="F426">
            <v>5</v>
          </cell>
        </row>
        <row r="430">
          <cell r="F430">
            <v>5</v>
          </cell>
        </row>
        <row r="432">
          <cell r="F432">
            <v>5</v>
          </cell>
        </row>
        <row r="436">
          <cell r="F436">
            <v>5</v>
          </cell>
        </row>
        <row r="438">
          <cell r="F438">
            <v>5</v>
          </cell>
        </row>
        <row r="442">
          <cell r="F442">
            <v>5</v>
          </cell>
        </row>
        <row r="444">
          <cell r="F444">
            <v>5</v>
          </cell>
        </row>
        <row r="448">
          <cell r="F448">
            <v>5</v>
          </cell>
        </row>
        <row r="450">
          <cell r="F450">
            <v>6</v>
          </cell>
        </row>
        <row r="453">
          <cell r="F453">
            <v>5</v>
          </cell>
        </row>
        <row r="454">
          <cell r="F454">
            <v>10</v>
          </cell>
        </row>
        <row r="457">
          <cell r="F457">
            <v>5</v>
          </cell>
        </row>
        <row r="458">
          <cell r="F458">
            <v>5</v>
          </cell>
        </row>
        <row r="459">
          <cell r="F459">
            <v>5</v>
          </cell>
        </row>
        <row r="460">
          <cell r="F460">
            <v>5</v>
          </cell>
        </row>
        <row r="462">
          <cell r="F462">
            <v>1</v>
          </cell>
        </row>
        <row r="463">
          <cell r="F463">
            <v>1</v>
          </cell>
        </row>
        <row r="466">
          <cell r="F466">
            <v>5</v>
          </cell>
        </row>
        <row r="467">
          <cell r="F467">
            <v>1</v>
          </cell>
        </row>
        <row r="468">
          <cell r="F468">
            <v>1</v>
          </cell>
        </row>
        <row r="469">
          <cell r="F469">
            <v>1</v>
          </cell>
        </row>
        <row r="474">
          <cell r="F474">
            <v>5</v>
          </cell>
        </row>
        <row r="476">
          <cell r="F476">
            <v>5</v>
          </cell>
        </row>
        <row r="477">
          <cell r="F477">
            <v>5</v>
          </cell>
        </row>
        <row r="478">
          <cell r="F478">
            <v>1</v>
          </cell>
        </row>
        <row r="481">
          <cell r="F481">
            <v>5</v>
          </cell>
        </row>
        <row r="484">
          <cell r="F484">
            <v>5</v>
          </cell>
        </row>
        <row r="486">
          <cell r="F486">
            <v>5</v>
          </cell>
        </row>
        <row r="493">
          <cell r="F493">
            <v>5</v>
          </cell>
        </row>
        <row r="497">
          <cell r="F497">
            <v>5</v>
          </cell>
        </row>
        <row r="498">
          <cell r="F498">
            <v>5</v>
          </cell>
        </row>
        <row r="500">
          <cell r="F500">
            <v>5</v>
          </cell>
        </row>
        <row r="501">
          <cell r="F501">
            <v>5</v>
          </cell>
        </row>
        <row r="502">
          <cell r="F502">
            <v>5</v>
          </cell>
        </row>
        <row r="506">
          <cell r="I506" t="str">
            <v>TANAH LONGSOR</v>
          </cell>
        </row>
        <row r="507">
          <cell r="I507" t="str">
            <v>BANJIR</v>
          </cell>
        </row>
        <row r="508">
          <cell r="I508" t="str">
            <v/>
          </cell>
        </row>
        <row r="509">
          <cell r="I509" t="str">
            <v/>
          </cell>
        </row>
        <row r="510">
          <cell r="I510" t="str">
            <v/>
          </cell>
        </row>
        <row r="511">
          <cell r="I511" t="str">
            <v/>
          </cell>
        </row>
        <row r="512">
          <cell r="I512" t="str">
            <v/>
          </cell>
        </row>
        <row r="513">
          <cell r="I513" t="str">
            <v/>
          </cell>
        </row>
        <row r="514">
          <cell r="I514" t="str">
            <v/>
          </cell>
        </row>
        <row r="515">
          <cell r="I515" t="str">
            <v>EPIDEMI DAN WABAH PENYAKIT</v>
          </cell>
        </row>
        <row r="516">
          <cell r="F516">
            <v>5</v>
          </cell>
          <cell r="I516" t="str">
            <v>CUACA EKSTREM</v>
          </cell>
        </row>
        <row r="517">
          <cell r="I517" t="str">
            <v>ABRASI</v>
          </cell>
        </row>
        <row r="518">
          <cell r="I518" t="str">
            <v>ERUPSI GUNUNG API</v>
          </cell>
        </row>
        <row r="519">
          <cell r="F519">
            <v>5</v>
          </cell>
          <cell r="I519" t="str">
            <v>KEBAKARAN GEDUNG DAN PEMUKIMAN</v>
          </cell>
        </row>
        <row r="520">
          <cell r="I520" t="str">
            <v>GAGAL TEKNOLOGI</v>
          </cell>
        </row>
        <row r="521">
          <cell r="I521" t="str">
            <v>KONFLIK SOSIAL</v>
          </cell>
        </row>
        <row r="522">
          <cell r="I522" t="str">
            <v>TIDAK ADA</v>
          </cell>
        </row>
        <row r="523">
          <cell r="F523">
            <v>5</v>
          </cell>
        </row>
        <row r="524">
          <cell r="F524">
            <v>5</v>
          </cell>
        </row>
        <row r="525">
          <cell r="F525">
            <v>5</v>
          </cell>
        </row>
        <row r="529">
          <cell r="F529">
            <v>5</v>
          </cell>
        </row>
        <row r="531">
          <cell r="H531">
            <v>1</v>
          </cell>
        </row>
        <row r="532">
          <cell r="H532">
            <v>2</v>
          </cell>
        </row>
        <row r="533">
          <cell r="H533">
            <v>4</v>
          </cell>
        </row>
        <row r="534">
          <cell r="H534">
            <v>5</v>
          </cell>
        </row>
        <row r="535">
          <cell r="F535">
            <v>5</v>
          </cell>
        </row>
        <row r="537">
          <cell r="F537">
            <v>5</v>
          </cell>
        </row>
        <row r="538">
          <cell r="F538">
            <v>5</v>
          </cell>
        </row>
        <row r="541">
          <cell r="F541">
            <v>5</v>
          </cell>
        </row>
        <row r="542">
          <cell r="F542">
            <v>5</v>
          </cell>
          <cell r="H542">
            <v>3</v>
          </cell>
        </row>
        <row r="562">
          <cell r="H562">
            <v>1</v>
          </cell>
        </row>
        <row r="563">
          <cell r="H563">
            <v>2</v>
          </cell>
        </row>
        <row r="564">
          <cell r="H564">
            <v>4</v>
          </cell>
        </row>
        <row r="565">
          <cell r="H565">
            <v>5</v>
          </cell>
        </row>
        <row r="567">
          <cell r="F567">
            <v>5</v>
          </cell>
        </row>
        <row r="568">
          <cell r="F568">
            <v>5</v>
          </cell>
        </row>
        <row r="570">
          <cell r="F570">
            <v>5</v>
          </cell>
        </row>
        <row r="571">
          <cell r="F571">
            <v>5</v>
          </cell>
        </row>
      </sheetData>
      <sheetData sheetId="3">
        <row r="9">
          <cell r="H9" t="str">
            <v>Periode ke-1</v>
          </cell>
        </row>
        <row r="10">
          <cell r="H10" t="str">
            <v>Periode ke-2</v>
          </cell>
        </row>
        <row r="11">
          <cell r="H11" t="str">
            <v>Periode ke-3</v>
          </cell>
        </row>
        <row r="63">
          <cell r="H63" t="str">
            <v>Bidang Pendidikan</v>
          </cell>
        </row>
        <row r="64">
          <cell r="H64" t="str">
            <v>Bidang Seni Budaya</v>
          </cell>
        </row>
        <row r="65">
          <cell r="H65" t="str">
            <v>Bidang Pengelolaan Sumber Daya Alam</v>
          </cell>
        </row>
        <row r="66">
          <cell r="H66" t="str">
            <v>Bidang Lingkungan dan Pariwisata</v>
          </cell>
        </row>
        <row r="67">
          <cell r="H67" t="str">
            <v>Bidang Pangan</v>
          </cell>
        </row>
        <row r="68">
          <cell r="H68" t="str">
            <v>Bidang Inovasi Teknologi</v>
          </cell>
        </row>
        <row r="69">
          <cell r="H69" t="str">
            <v>Lainnya</v>
          </cell>
        </row>
        <row r="75">
          <cell r="H75">
            <v>0</v>
          </cell>
        </row>
        <row r="76">
          <cell r="H76">
            <v>1</v>
          </cell>
        </row>
        <row r="77">
          <cell r="H77">
            <v>2</v>
          </cell>
        </row>
        <row r="78">
          <cell r="H78">
            <v>3</v>
          </cell>
        </row>
        <row r="79">
          <cell r="H79">
            <v>4</v>
          </cell>
        </row>
        <row r="80">
          <cell r="H80">
            <v>5</v>
          </cell>
        </row>
        <row r="94">
          <cell r="H94" t="str">
            <v>BUMN</v>
          </cell>
        </row>
        <row r="95">
          <cell r="H95" t="str">
            <v>Perguruan Tinggi</v>
          </cell>
        </row>
        <row r="96">
          <cell r="H96" t="str">
            <v>Swasta</v>
          </cell>
        </row>
        <row r="97">
          <cell r="H97" t="str">
            <v>LSM</v>
          </cell>
        </row>
        <row r="98">
          <cell r="H98" t="str">
            <v>Lainnya</v>
          </cell>
        </row>
        <row r="100">
          <cell r="H100" t="str">
            <v>Tidak Optimal</v>
          </cell>
        </row>
        <row r="101">
          <cell r="H101" t="str">
            <v>Optimal</v>
          </cell>
        </row>
        <row r="102">
          <cell r="H102" t="str">
            <v>Sangat Optimal</v>
          </cell>
        </row>
        <row r="104">
          <cell r="H104" t="str">
            <v>0</v>
          </cell>
        </row>
        <row r="105">
          <cell r="H105" t="str">
            <v>1</v>
          </cell>
        </row>
        <row r="106">
          <cell r="H106" t="str">
            <v>2</v>
          </cell>
        </row>
        <row r="107">
          <cell r="H107" t="str">
            <v>&gt;2</v>
          </cell>
        </row>
        <row r="109">
          <cell r="H109">
            <v>0</v>
          </cell>
        </row>
        <row r="110">
          <cell r="H110">
            <v>1</v>
          </cell>
        </row>
        <row r="111">
          <cell r="H111">
            <v>2</v>
          </cell>
        </row>
        <row r="112">
          <cell r="H112">
            <v>3</v>
          </cell>
        </row>
        <row r="113">
          <cell r="H113">
            <v>4</v>
          </cell>
        </row>
        <row r="114">
          <cell r="H114">
            <v>5</v>
          </cell>
        </row>
        <row r="115">
          <cell r="H115">
            <v>6</v>
          </cell>
        </row>
        <row r="116">
          <cell r="H116">
            <v>7</v>
          </cell>
        </row>
        <row r="117">
          <cell r="H117">
            <v>8</v>
          </cell>
        </row>
        <row r="170">
          <cell r="H170" t="str">
            <v>PEMERINTAH</v>
          </cell>
        </row>
        <row r="171">
          <cell r="H171" t="str">
            <v>BUMDES</v>
          </cell>
        </row>
        <row r="172">
          <cell r="H172" t="str">
            <v>BUMDES BERSAMA</v>
          </cell>
        </row>
        <row r="173">
          <cell r="H173" t="str">
            <v>POKDARWIS</v>
          </cell>
        </row>
        <row r="174">
          <cell r="H174" t="str">
            <v>PELAKU USAHA/ UMKM LOKAL</v>
          </cell>
        </row>
        <row r="175">
          <cell r="H175" t="str">
            <v>LSM</v>
          </cell>
        </row>
        <row r="176">
          <cell r="H176" t="str">
            <v>INVESTOR/ SWASTA</v>
          </cell>
        </row>
        <row r="177">
          <cell r="H177" t="str">
            <v>AKADEMISI/ PENELITI</v>
          </cell>
        </row>
        <row r="178">
          <cell r="H178" t="str">
            <v>LAINNYA</v>
          </cell>
        </row>
        <row r="182">
          <cell r="H182" t="str">
            <v>&lt;500 meter</v>
          </cell>
        </row>
        <row r="183">
          <cell r="H183" t="str">
            <v xml:space="preserve"> 500-2.500 meter</v>
          </cell>
        </row>
        <row r="184">
          <cell r="H184" t="str">
            <v>&gt;2.500 meter</v>
          </cell>
        </row>
        <row r="186">
          <cell r="H186" t="str">
            <v>Tidak Ada Jalan</v>
          </cell>
        </row>
        <row r="187">
          <cell r="H187" t="str">
            <v>Tanah</v>
          </cell>
        </row>
        <row r="188">
          <cell r="H188" t="str">
            <v>Diperkeras (kerikil, batu, dll)/ Jalan Terapung Kayu (semi permanen)</v>
          </cell>
        </row>
        <row r="189">
          <cell r="H189" t="str">
            <v>Aspal/beton/Jalan Terapung Permanen</v>
          </cell>
        </row>
        <row r="190">
          <cell r="H190" t="str">
            <v>Jalan Tidak Rusak</v>
          </cell>
        </row>
        <row r="191">
          <cell r="H191" t="str">
            <v>&lt;100 meter</v>
          </cell>
        </row>
        <row r="192">
          <cell r="H192" t="str">
            <v>100-500 meter</v>
          </cell>
        </row>
        <row r="193">
          <cell r="H193" t="str">
            <v>500-1.000 meter</v>
          </cell>
        </row>
        <row r="194">
          <cell r="H194" t="str">
            <v>1.000-1.500 meter</v>
          </cell>
        </row>
        <row r="195">
          <cell r="H195" t="str">
            <v>&gt;1.500 meter</v>
          </cell>
        </row>
        <row r="331">
          <cell r="H331" t="str">
            <v>Pemerintah</v>
          </cell>
        </row>
        <row r="332">
          <cell r="H332" t="str">
            <v>BUMN</v>
          </cell>
        </row>
        <row r="333">
          <cell r="H333" t="str">
            <v>BUMD</v>
          </cell>
        </row>
        <row r="334">
          <cell r="H334" t="str">
            <v>Pemerintah Desa</v>
          </cell>
        </row>
        <row r="335">
          <cell r="H335" t="str">
            <v>Kelompok Tani</v>
          </cell>
        </row>
        <row r="336">
          <cell r="H336" t="str">
            <v>Investor/Swasta</v>
          </cell>
        </row>
        <row r="337">
          <cell r="H337" t="str">
            <v>Perorangan</v>
          </cell>
        </row>
        <row r="338">
          <cell r="H338" t="str">
            <v>Lainnya</v>
          </cell>
        </row>
        <row r="339">
          <cell r="H339" t="str">
            <v>Pemerintah</v>
          </cell>
        </row>
        <row r="340">
          <cell r="H340" t="str">
            <v>BUMN</v>
          </cell>
        </row>
        <row r="341">
          <cell r="H341" t="str">
            <v>BUMD</v>
          </cell>
        </row>
        <row r="342">
          <cell r="H342" t="str">
            <v>Koperasi</v>
          </cell>
        </row>
        <row r="343">
          <cell r="H343" t="str">
            <v>Swasta</v>
          </cell>
        </row>
        <row r="344">
          <cell r="H344" t="str">
            <v>Organisasi Masyarakat</v>
          </cell>
        </row>
        <row r="345">
          <cell r="H345" t="str">
            <v>Perorangan</v>
          </cell>
        </row>
        <row r="346">
          <cell r="H346" t="str">
            <v>Lainnya</v>
          </cell>
        </row>
        <row r="411">
          <cell r="H411" t="str">
            <v>Domestik</v>
          </cell>
        </row>
        <row r="412">
          <cell r="H412" t="str">
            <v>Ekspor</v>
          </cell>
        </row>
        <row r="452">
          <cell r="H452" t="str">
            <v>Tradisional</v>
          </cell>
        </row>
        <row r="453">
          <cell r="H453" t="str">
            <v>Modern</v>
          </cell>
        </row>
        <row r="454">
          <cell r="H454" t="str">
            <v>Tradisional dan Modern</v>
          </cell>
        </row>
        <row r="461">
          <cell r="H461" t="str">
            <v>&lt;50</v>
          </cell>
        </row>
        <row r="462">
          <cell r="H462" t="str">
            <v>50 - 150</v>
          </cell>
        </row>
        <row r="463">
          <cell r="H463" t="str">
            <v>150 - 350</v>
          </cell>
        </row>
        <row r="464">
          <cell r="H464" t="str">
            <v>350 - 500</v>
          </cell>
        </row>
        <row r="465">
          <cell r="H465" t="str">
            <v>500 - 1.000</v>
          </cell>
        </row>
        <row r="466">
          <cell r="H466" t="str">
            <v xml:space="preserve">&gt; 1.000 </v>
          </cell>
        </row>
        <row r="524">
          <cell r="H524" t="str">
            <v>Iuran Bulanan Masyarakat</v>
          </cell>
        </row>
        <row r="525">
          <cell r="H525" t="str">
            <v>APBDes</v>
          </cell>
        </row>
        <row r="526">
          <cell r="H526" t="str">
            <v>Iuran Bulanan Masyarakat dan APBDes</v>
          </cell>
        </row>
        <row r="527">
          <cell r="H527" t="str">
            <v>Lainnya</v>
          </cell>
        </row>
        <row r="534">
          <cell r="H534" t="str">
            <v>Aktif</v>
          </cell>
        </row>
        <row r="535">
          <cell r="H535" t="str">
            <v>Tidak Aktif</v>
          </cell>
        </row>
        <row r="588">
          <cell r="H588" t="str">
            <v>Jamban Sendiri</v>
          </cell>
        </row>
        <row r="589">
          <cell r="H589" t="str">
            <v>Jamban Bersama</v>
          </cell>
        </row>
        <row r="590">
          <cell r="H590" t="str">
            <v>Jamban Umum</v>
          </cell>
        </row>
        <row r="591">
          <cell r="H591" t="str">
            <v>Bukan Jamban</v>
          </cell>
        </row>
        <row r="615">
          <cell r="H615" t="str">
            <v>2G/ 2.5G/ GPRS/ EDGE</v>
          </cell>
        </row>
        <row r="616">
          <cell r="H616" t="str">
            <v>3G/ 3.5G/ HSDPA/ EVDO</v>
          </cell>
        </row>
        <row r="617">
          <cell r="H617" t="str">
            <v>4G LTE</v>
          </cell>
        </row>
        <row r="618">
          <cell r="H618" t="str">
            <v>5G</v>
          </cell>
        </row>
        <row r="632">
          <cell r="H632" t="str">
            <v>Swasta</v>
          </cell>
        </row>
        <row r="633">
          <cell r="H633" t="str">
            <v>Swadaya</v>
          </cell>
        </row>
        <row r="634">
          <cell r="H634" t="str">
            <v>Perseorangan</v>
          </cell>
        </row>
        <row r="644">
          <cell r="H644" t="str">
            <v>&lt;5</v>
          </cell>
        </row>
        <row r="645">
          <cell r="H645" t="str">
            <v>5-10</v>
          </cell>
        </row>
        <row r="646">
          <cell r="H646" t="str">
            <v>10-15</v>
          </cell>
        </row>
        <row r="647">
          <cell r="H647" t="str">
            <v>&gt;15</v>
          </cell>
        </row>
        <row r="649">
          <cell r="H649" t="str">
            <v>Biznet</v>
          </cell>
        </row>
        <row r="650">
          <cell r="H650" t="str">
            <v>CBN Fiber</v>
          </cell>
        </row>
        <row r="651">
          <cell r="H651" t="str">
            <v>First Media</v>
          </cell>
        </row>
        <row r="652">
          <cell r="H652" t="str">
            <v>Icon + PLN</v>
          </cell>
        </row>
        <row r="653">
          <cell r="H653" t="str">
            <v>Indihome</v>
          </cell>
        </row>
        <row r="654">
          <cell r="H654" t="str">
            <v>Indosat GIG</v>
          </cell>
        </row>
        <row r="655">
          <cell r="H655" t="str">
            <v>My Republic</v>
          </cell>
        </row>
        <row r="656">
          <cell r="H656" t="str">
            <v>Oxygen.id</v>
          </cell>
        </row>
        <row r="657">
          <cell r="H657" t="str">
            <v>Smartfren</v>
          </cell>
        </row>
        <row r="658">
          <cell r="H658" t="str">
            <v>Starlink</v>
          </cell>
        </row>
        <row r="659">
          <cell r="H659" t="str">
            <v>XL Home</v>
          </cell>
        </row>
        <row r="660">
          <cell r="H660" t="str">
            <v>Lainnya</v>
          </cell>
        </row>
        <row r="662">
          <cell r="H662" t="str">
            <v>Sudah</v>
          </cell>
        </row>
        <row r="663">
          <cell r="H663" t="str">
            <v>Belum</v>
          </cell>
        </row>
        <row r="665">
          <cell r="H665" t="str">
            <v>1-2 Kali</v>
          </cell>
        </row>
        <row r="666">
          <cell r="H666" t="str">
            <v>&gt;2 Kali</v>
          </cell>
        </row>
        <row r="667">
          <cell r="H667" t="str">
            <v>Gratis</v>
          </cell>
        </row>
        <row r="668">
          <cell r="H668" t="str">
            <v>&lt;25.000</v>
          </cell>
        </row>
        <row r="669">
          <cell r="H669" t="str">
            <v>25.000 - 50.000</v>
          </cell>
        </row>
        <row r="670">
          <cell r="H670" t="str">
            <v>50.000 - 100.000</v>
          </cell>
        </row>
        <row r="671">
          <cell r="H671" t="str">
            <v>&gt;100.000</v>
          </cell>
        </row>
        <row r="677">
          <cell r="H677" t="str">
            <v>Baik</v>
          </cell>
        </row>
        <row r="678">
          <cell r="H678" t="str">
            <v>Sedang</v>
          </cell>
        </row>
        <row r="679">
          <cell r="H679" t="str">
            <v>Rusak</v>
          </cell>
        </row>
        <row r="693">
          <cell r="H693" t="str">
            <v>ISLAM</v>
          </cell>
        </row>
        <row r="694">
          <cell r="H694" t="str">
            <v>KRISTEN PROTESTAN</v>
          </cell>
        </row>
        <row r="695">
          <cell r="H695" t="str">
            <v>KATOLIK</v>
          </cell>
        </row>
        <row r="696">
          <cell r="H696" t="str">
            <v/>
          </cell>
        </row>
        <row r="697">
          <cell r="H697" t="str">
            <v/>
          </cell>
        </row>
        <row r="698">
          <cell r="H698" t="str">
            <v/>
          </cell>
        </row>
        <row r="699">
          <cell r="H699" t="str">
            <v/>
          </cell>
        </row>
        <row r="736">
          <cell r="H736" t="str">
            <v/>
          </cell>
        </row>
        <row r="737">
          <cell r="H737" t="str">
            <v/>
          </cell>
        </row>
        <row r="738">
          <cell r="H738" t="str">
            <v/>
          </cell>
        </row>
        <row r="739">
          <cell r="H739" t="str">
            <v/>
          </cell>
        </row>
        <row r="740">
          <cell r="H740" t="str">
            <v/>
          </cell>
        </row>
        <row r="741">
          <cell r="H741" t="str">
            <v/>
          </cell>
        </row>
        <row r="742">
          <cell r="H742" t="str">
            <v/>
          </cell>
        </row>
        <row r="743">
          <cell r="H743" t="str">
            <v/>
          </cell>
        </row>
        <row r="744">
          <cell r="H744" t="str">
            <v/>
          </cell>
        </row>
        <row r="781">
          <cell r="I781" t="str">
            <v>Tidak Ada</v>
          </cell>
        </row>
        <row r="782">
          <cell r="I782" t="str">
            <v>PADI</v>
          </cell>
        </row>
        <row r="783">
          <cell r="I783" t="str">
            <v/>
          </cell>
        </row>
        <row r="784">
          <cell r="I784" t="str">
            <v/>
          </cell>
        </row>
        <row r="785">
          <cell r="I785" t="str">
            <v/>
          </cell>
        </row>
        <row r="786">
          <cell r="I786" t="str">
            <v/>
          </cell>
        </row>
        <row r="787">
          <cell r="I787" t="str">
            <v/>
          </cell>
        </row>
        <row r="788">
          <cell r="I788" t="str">
            <v/>
          </cell>
        </row>
        <row r="789">
          <cell r="I789" t="str">
            <v/>
          </cell>
        </row>
        <row r="790">
          <cell r="I790" t="str">
            <v/>
          </cell>
        </row>
        <row r="791">
          <cell r="I791" t="str">
            <v/>
          </cell>
        </row>
        <row r="792">
          <cell r="I792" t="str">
            <v/>
          </cell>
        </row>
        <row r="793">
          <cell r="I793" t="str">
            <v/>
          </cell>
        </row>
        <row r="794">
          <cell r="I794" t="str">
            <v/>
          </cell>
        </row>
        <row r="795">
          <cell r="I795" t="str">
            <v/>
          </cell>
        </row>
        <row r="796">
          <cell r="I796" t="str">
            <v/>
          </cell>
        </row>
        <row r="797">
          <cell r="I797" t="str">
            <v/>
          </cell>
        </row>
        <row r="798">
          <cell r="I798" t="str">
            <v/>
          </cell>
        </row>
        <row r="799">
          <cell r="I799" t="str">
            <v/>
          </cell>
        </row>
        <row r="800">
          <cell r="I800" t="str">
            <v/>
          </cell>
        </row>
        <row r="822">
          <cell r="I822" t="str">
            <v>Tidak Ada</v>
          </cell>
        </row>
        <row r="823">
          <cell r="I823" t="str">
            <v/>
          </cell>
        </row>
        <row r="824">
          <cell r="I824" t="str">
            <v/>
          </cell>
        </row>
        <row r="825">
          <cell r="I825" t="str">
            <v/>
          </cell>
        </row>
        <row r="826">
          <cell r="I826" t="str">
            <v/>
          </cell>
        </row>
        <row r="827">
          <cell r="I827" t="str">
            <v/>
          </cell>
        </row>
        <row r="828">
          <cell r="I828" t="str">
            <v/>
          </cell>
        </row>
        <row r="829">
          <cell r="I829" t="str">
            <v/>
          </cell>
        </row>
        <row r="830">
          <cell r="I830" t="str">
            <v/>
          </cell>
        </row>
        <row r="831">
          <cell r="I831" t="str">
            <v/>
          </cell>
        </row>
        <row r="832">
          <cell r="I832" t="str">
            <v/>
          </cell>
        </row>
        <row r="833">
          <cell r="I833" t="str">
            <v/>
          </cell>
        </row>
        <row r="834">
          <cell r="I834" t="str">
            <v/>
          </cell>
        </row>
        <row r="835">
          <cell r="I835" t="str">
            <v/>
          </cell>
        </row>
        <row r="836">
          <cell r="I836" t="str">
            <v/>
          </cell>
        </row>
        <row r="837">
          <cell r="I837" t="str">
            <v/>
          </cell>
        </row>
        <row r="838">
          <cell r="I838" t="str">
            <v/>
          </cell>
        </row>
        <row r="839">
          <cell r="I839" t="str">
            <v/>
          </cell>
        </row>
        <row r="840">
          <cell r="I840" t="str">
            <v/>
          </cell>
        </row>
        <row r="841">
          <cell r="I841" t="str">
            <v/>
          </cell>
        </row>
        <row r="842">
          <cell r="I842" t="str">
            <v/>
          </cell>
        </row>
        <row r="843">
          <cell r="I843" t="str">
            <v/>
          </cell>
        </row>
        <row r="844">
          <cell r="I844" t="str">
            <v/>
          </cell>
        </row>
        <row r="845">
          <cell r="I845" t="str">
            <v/>
          </cell>
        </row>
        <row r="846">
          <cell r="I846" t="str">
            <v/>
          </cell>
        </row>
        <row r="847">
          <cell r="I847" t="str">
            <v/>
          </cell>
        </row>
        <row r="848">
          <cell r="I848" t="str">
            <v/>
          </cell>
        </row>
        <row r="849">
          <cell r="I849" t="str">
            <v/>
          </cell>
        </row>
        <row r="850">
          <cell r="I850" t="str">
            <v/>
          </cell>
        </row>
        <row r="851">
          <cell r="I851" t="str">
            <v/>
          </cell>
        </row>
        <row r="852">
          <cell r="I852" t="str">
            <v/>
          </cell>
        </row>
        <row r="853">
          <cell r="I853" t="str">
            <v/>
          </cell>
        </row>
        <row r="854">
          <cell r="I854" t="str">
            <v/>
          </cell>
        </row>
        <row r="890">
          <cell r="I890" t="str">
            <v>Tidak Ada</v>
          </cell>
        </row>
        <row r="891">
          <cell r="I891" t="str">
            <v/>
          </cell>
        </row>
        <row r="892">
          <cell r="I892" t="str">
            <v/>
          </cell>
        </row>
        <row r="893">
          <cell r="I893" t="str">
            <v/>
          </cell>
        </row>
        <row r="894">
          <cell r="I894" t="str">
            <v/>
          </cell>
        </row>
        <row r="895">
          <cell r="I895" t="str">
            <v/>
          </cell>
        </row>
        <row r="896">
          <cell r="I896" t="str">
            <v/>
          </cell>
        </row>
        <row r="897">
          <cell r="I897" t="str">
            <v/>
          </cell>
        </row>
        <row r="898">
          <cell r="I898" t="str">
            <v/>
          </cell>
        </row>
        <row r="899">
          <cell r="I899" t="str">
            <v/>
          </cell>
        </row>
        <row r="900">
          <cell r="I900" t="str">
            <v/>
          </cell>
        </row>
        <row r="901">
          <cell r="I901" t="str">
            <v/>
          </cell>
        </row>
        <row r="902">
          <cell r="I902" t="str">
            <v/>
          </cell>
        </row>
        <row r="903">
          <cell r="I903" t="str">
            <v/>
          </cell>
        </row>
        <row r="904">
          <cell r="I904" t="str">
            <v/>
          </cell>
        </row>
        <row r="905">
          <cell r="I905" t="str">
            <v/>
          </cell>
        </row>
        <row r="906">
          <cell r="I906" t="str">
            <v/>
          </cell>
        </row>
        <row r="907">
          <cell r="I907" t="str">
            <v/>
          </cell>
        </row>
        <row r="908">
          <cell r="I908" t="str">
            <v/>
          </cell>
        </row>
        <row r="909">
          <cell r="I909" t="str">
            <v/>
          </cell>
        </row>
        <row r="910">
          <cell r="I910" t="str">
            <v/>
          </cell>
        </row>
        <row r="911">
          <cell r="I911" t="str">
            <v/>
          </cell>
        </row>
        <row r="912">
          <cell r="I912" t="str">
            <v/>
          </cell>
        </row>
        <row r="913">
          <cell r="I913" t="str">
            <v/>
          </cell>
        </row>
        <row r="939">
          <cell r="I939" t="str">
            <v>Tidak Ada</v>
          </cell>
        </row>
        <row r="940">
          <cell r="I940" t="str">
            <v/>
          </cell>
        </row>
        <row r="941">
          <cell r="I941" t="str">
            <v/>
          </cell>
        </row>
        <row r="942">
          <cell r="I942" t="str">
            <v/>
          </cell>
        </row>
        <row r="943">
          <cell r="I943" t="str">
            <v/>
          </cell>
        </row>
        <row r="944">
          <cell r="I944" t="str">
            <v/>
          </cell>
        </row>
        <row r="945">
          <cell r="I945" t="str">
            <v/>
          </cell>
        </row>
        <row r="946">
          <cell r="I946" t="str">
            <v/>
          </cell>
        </row>
        <row r="947">
          <cell r="I947" t="str">
            <v/>
          </cell>
        </row>
        <row r="948">
          <cell r="I948" t="str">
            <v/>
          </cell>
        </row>
        <row r="949">
          <cell r="I949" t="str">
            <v/>
          </cell>
        </row>
        <row r="950">
          <cell r="I950" t="str">
            <v/>
          </cell>
        </row>
        <row r="951">
          <cell r="I951" t="str">
            <v/>
          </cell>
        </row>
        <row r="952">
          <cell r="I952" t="str">
            <v/>
          </cell>
        </row>
        <row r="953">
          <cell r="I953" t="str">
            <v/>
          </cell>
        </row>
        <row r="954">
          <cell r="I954" t="str">
            <v/>
          </cell>
        </row>
        <row r="955">
          <cell r="I955" t="str">
            <v/>
          </cell>
        </row>
        <row r="956">
          <cell r="I956" t="str">
            <v/>
          </cell>
        </row>
        <row r="957">
          <cell r="I957" t="str">
            <v/>
          </cell>
        </row>
        <row r="958">
          <cell r="I958" t="str">
            <v/>
          </cell>
        </row>
        <row r="959">
          <cell r="I959" t="str">
            <v/>
          </cell>
        </row>
        <row r="960">
          <cell r="I960" t="str">
            <v/>
          </cell>
        </row>
        <row r="995">
          <cell r="H995">
            <v>1</v>
          </cell>
        </row>
        <row r="996">
          <cell r="H996">
            <v>2</v>
          </cell>
        </row>
        <row r="997">
          <cell r="H997">
            <v>3</v>
          </cell>
        </row>
        <row r="998">
          <cell r="H998">
            <v>4</v>
          </cell>
        </row>
        <row r="999">
          <cell r="H999">
            <v>5</v>
          </cell>
        </row>
        <row r="1000">
          <cell r="H1000">
            <v>6</v>
          </cell>
        </row>
        <row r="1001">
          <cell r="H1001">
            <v>7</v>
          </cell>
        </row>
        <row r="1050">
          <cell r="H1050" t="str">
            <v>&lt;50</v>
          </cell>
        </row>
        <row r="1051">
          <cell r="H1051" t="str">
            <v>50 - 100</v>
          </cell>
        </row>
        <row r="1052">
          <cell r="H1052" t="str">
            <v>100 - 200</v>
          </cell>
        </row>
        <row r="1053">
          <cell r="H1053" t="str">
            <v>&gt;200</v>
          </cell>
        </row>
        <row r="1245">
          <cell r="I1245" t="str">
            <v>Tidak Ada</v>
          </cell>
        </row>
        <row r="1246">
          <cell r="I1246" t="str">
            <v>Ada, Dikelola Oleh Mitra Lainnya</v>
          </cell>
        </row>
        <row r="1247">
          <cell r="I1247" t="str">
            <v>Ada, Dikelola Oleh Bumdes</v>
          </cell>
        </row>
        <row r="1364">
          <cell r="H1364" t="str">
            <v>Rusak, Tidak Bisa dilalui</v>
          </cell>
        </row>
        <row r="1365">
          <cell r="H1365" t="str">
            <v>Rusak, Bisa lalui</v>
          </cell>
        </row>
        <row r="1366">
          <cell r="H1366" t="str">
            <v>Baik</v>
          </cell>
        </row>
        <row r="1418">
          <cell r="I1418" t="str">
            <v>Tidak Ada</v>
          </cell>
        </row>
        <row r="1419">
          <cell r="I1419" t="str">
            <v>Infrastruktur</v>
          </cell>
        </row>
        <row r="1420">
          <cell r="I1420" t="str">
            <v>Pemberdayaan</v>
          </cell>
        </row>
        <row r="1422">
          <cell r="I1422" t="str">
            <v>0 - 450jt</v>
          </cell>
        </row>
        <row r="1423">
          <cell r="I1423" t="str">
            <v>450 - 1 M</v>
          </cell>
        </row>
        <row r="1424">
          <cell r="I1424" t="str">
            <v>1M - 2 M</v>
          </cell>
        </row>
        <row r="1425">
          <cell r="I1425" t="str">
            <v>2M - 3M</v>
          </cell>
        </row>
        <row r="1426">
          <cell r="I1426" t="str">
            <v>&gt;3M</v>
          </cell>
        </row>
        <row r="1428">
          <cell r="I1428" t="str">
            <v>Kementerian Agama</v>
          </cell>
        </row>
        <row r="1429">
          <cell r="I1429" t="str">
            <v>Kementerian Agraria dan Tata Ruang/ Badan Pertanahan Nasional</v>
          </cell>
        </row>
        <row r="1430">
          <cell r="I1430" t="str">
            <v>Kementerian Badan Usaha Milik Negara (BUMN)</v>
          </cell>
        </row>
        <row r="1431">
          <cell r="I1431" t="str">
            <v>Kementerian Dalam Negeri</v>
          </cell>
        </row>
        <row r="1432">
          <cell r="I1432" t="str">
            <v>Kementerian Desa dan Pembangunan Daerah Tertinggal</v>
          </cell>
        </row>
        <row r="1433">
          <cell r="I1433" t="str">
            <v>Kementerian Ekonomi Kreatif/Badan Ekonomi Kreatif</v>
          </cell>
        </row>
        <row r="1434">
          <cell r="I1434" t="str">
            <v>Kementerian Energi dan Sumber Daya Mineral (ESDM)</v>
          </cell>
        </row>
        <row r="1435">
          <cell r="I1435" t="str">
            <v>Kementerian Hak Asasi Manusia (HAM)</v>
          </cell>
        </row>
        <row r="1436">
          <cell r="I1436" t="str">
            <v>Kementerian Hukum</v>
          </cell>
        </row>
        <row r="1437">
          <cell r="I1437" t="str">
            <v>Kementerian Imigrasi dan Pemasyarakatan</v>
          </cell>
        </row>
        <row r="1438">
          <cell r="I1438" t="str">
            <v>Kementerian Investasi dan Hilirisasi/Badan Koordinasi Penanaman Modal</v>
          </cell>
        </row>
        <row r="1439">
          <cell r="I1439" t="str">
            <v>Kementerian Kebudayaan</v>
          </cell>
        </row>
        <row r="1440">
          <cell r="I1440" t="str">
            <v>Kementerian Kehutanan</v>
          </cell>
        </row>
        <row r="1441">
          <cell r="I1441" t="str">
            <v>Kementerian Kelautan dan Perikanan</v>
          </cell>
        </row>
        <row r="1442">
          <cell r="I1442" t="str">
            <v>Kementerian Kependudukan dan Pembangunan Keluarga</v>
          </cell>
        </row>
        <row r="1443">
          <cell r="I1443" t="str">
            <v>Kementerian Kesehatan</v>
          </cell>
        </row>
        <row r="1444">
          <cell r="I1444" t="str">
            <v>Kementerian Ketenagakerjaan</v>
          </cell>
        </row>
        <row r="1445">
          <cell r="I1445" t="str">
            <v>Kementerian Keuangan</v>
          </cell>
        </row>
        <row r="1446">
          <cell r="I1446" t="str">
            <v>Kementerian Komunikasi dan Digital</v>
          </cell>
        </row>
        <row r="1447">
          <cell r="I1447" t="str">
            <v>Kementerian Koordinator Bidang Hukum, HAM, Imigrasi, dan Pemasyarakatan</v>
          </cell>
        </row>
        <row r="1448">
          <cell r="I1448" t="str">
            <v>Kementerian Koordinator Bidang Infrastruktur dan Pembangunan Kewilayahan</v>
          </cell>
        </row>
        <row r="1449">
          <cell r="I1449" t="str">
            <v>Kementerian Koordinator Bidang Pangan</v>
          </cell>
        </row>
        <row r="1450">
          <cell r="I1450" t="str">
            <v>Kementerian Koordinator Bidang Pembangunan Manusia dan Kebudayaan</v>
          </cell>
        </row>
        <row r="1451">
          <cell r="I1451" t="str">
            <v>Kementerian Koordinator Bidang Pemberdayaan Masyarakat</v>
          </cell>
        </row>
        <row r="1452">
          <cell r="I1452" t="str">
            <v>Kementerian Koordinator Bidang Perekonomian</v>
          </cell>
        </row>
        <row r="1453">
          <cell r="I1453" t="str">
            <v>Kementerian Koordinator Bidang Politik dan Keamanan</v>
          </cell>
        </row>
        <row r="1454">
          <cell r="I1454" t="str">
            <v>Kementerian Lingkungan Hidup/ Badan Pengendalian Lingkungan Hidup</v>
          </cell>
        </row>
        <row r="1455">
          <cell r="I1455" t="str">
            <v>Kementerian Luar Negeri</v>
          </cell>
        </row>
        <row r="1456">
          <cell r="I1456" t="str">
            <v>Kementerian Pariwisata</v>
          </cell>
        </row>
        <row r="1457">
          <cell r="I1457" t="str">
            <v>Kementerian Pekerjaan Umum</v>
          </cell>
        </row>
        <row r="1458">
          <cell r="I1458" t="str">
            <v>Kementerian Pemberdayaan Perempuan dan Perlindungan Anak</v>
          </cell>
        </row>
        <row r="1459">
          <cell r="I1459" t="str">
            <v>Kementerian Pemuda dan Olahraga</v>
          </cell>
        </row>
        <row r="1460">
          <cell r="I1460" t="str">
            <v>Kementerian Pendidikan Dasar dan Menengah</v>
          </cell>
        </row>
        <row r="1461">
          <cell r="I1461" t="str">
            <v>Kementerian Perdagangan</v>
          </cell>
        </row>
        <row r="1462">
          <cell r="I1462" t="str">
            <v>Kementerian Perencanaan Pembangunan Nasional/ Bappenas</v>
          </cell>
        </row>
        <row r="1463">
          <cell r="I1463" t="str">
            <v>Kementerian Perhubungan</v>
          </cell>
        </row>
        <row r="1464">
          <cell r="I1464" t="str">
            <v>Kementerian Perindustrian</v>
          </cell>
        </row>
        <row r="1465">
          <cell r="I1465" t="str">
            <v>Kementerian Perlindungan Pekerja Migran Indonesia/ Badan Perlindungan Pekerja Migran Indonesia</v>
          </cell>
        </row>
        <row r="1466">
          <cell r="I1466" t="str">
            <v>Kementerian Pertahanan</v>
          </cell>
        </row>
        <row r="1467">
          <cell r="I1467" t="str">
            <v>Kementerian Pertanian</v>
          </cell>
        </row>
        <row r="1468">
          <cell r="I1468" t="str">
            <v>Kementerian Perumahan dan Kawasan Permukiman</v>
          </cell>
        </row>
        <row r="1469">
          <cell r="I1469" t="str">
            <v>Kementerian Sekretariat Negara</v>
          </cell>
        </row>
        <row r="1470">
          <cell r="I1470" t="str">
            <v>Kementerian Sosial</v>
          </cell>
        </row>
        <row r="1471">
          <cell r="I1471" t="str">
            <v>Kementerian Transmigrasi</v>
          </cell>
        </row>
        <row r="1472">
          <cell r="I1472" t="str">
            <v>Kementerian Usaha Mikro Kecil dan Menengah</v>
          </cell>
        </row>
      </sheetData>
      <sheetData sheetId="4">
        <row r="5">
          <cell r="H5" t="str">
            <v>Tidak Ada</v>
          </cell>
        </row>
        <row r="6">
          <cell r="H6" t="str">
            <v>Ada, Belum Berbadan Hukum</v>
          </cell>
        </row>
        <row r="7">
          <cell r="H7" t="str">
            <v>Ada, Sudah Berbadan Hukum</v>
          </cell>
        </row>
        <row r="9">
          <cell r="H9" t="str">
            <v>Belum Ada</v>
          </cell>
        </row>
        <row r="10">
          <cell r="H10" t="str">
            <v>50rb - 500rb</v>
          </cell>
        </row>
        <row r="11">
          <cell r="H11" t="str">
            <v>500rb - 2jt</v>
          </cell>
        </row>
        <row r="12">
          <cell r="H12" t="str">
            <v>2jt - 10jt</v>
          </cell>
        </row>
        <row r="13">
          <cell r="H13" t="str">
            <v>10jt - 50jt</v>
          </cell>
        </row>
        <row r="14">
          <cell r="H14" t="str">
            <v>&gt; 50jt</v>
          </cell>
        </row>
        <row r="21">
          <cell r="H21" t="str">
            <v>Tidak Ikut Pemeringkatan</v>
          </cell>
        </row>
        <row r="22">
          <cell r="H22" t="str">
            <v>Perintis</v>
          </cell>
        </row>
        <row r="23">
          <cell r="H23" t="str">
            <v>Pemula</v>
          </cell>
        </row>
        <row r="24">
          <cell r="H24" t="str">
            <v>Berkembang</v>
          </cell>
        </row>
        <row r="25">
          <cell r="H25" t="str">
            <v>Maju</v>
          </cell>
        </row>
        <row r="38">
          <cell r="H38" t="str">
            <v>Didalam Kawasan Hutan</v>
          </cell>
        </row>
        <row r="39">
          <cell r="H39" t="str">
            <v>Beririsan dengan Kawasan Hutan</v>
          </cell>
        </row>
        <row r="40">
          <cell r="H40" t="str">
            <v>Berbatasan Langsung Dengan Kawasan Hutan</v>
          </cell>
        </row>
        <row r="41">
          <cell r="H41" t="str">
            <v>Diluar Kawasan Hutan</v>
          </cell>
        </row>
      </sheetData>
      <sheetData sheetId="5"/>
      <sheetData sheetId="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4B1DF-F9ED-41B2-8383-D5DF8759E315}">
  <sheetPr>
    <tabColor theme="8" tint="0.79998168889431442"/>
    <outlinePr summaryBelow="0" summaryRight="0"/>
  </sheetPr>
  <dimension ref="A2:L200"/>
  <sheetViews>
    <sheetView showGridLines="0" tabSelected="1" zoomScale="80" zoomScaleNormal="80" workbookViewId="0">
      <pane xSplit="3" ySplit="3" topLeftCell="D4" activePane="bottomRight" state="frozen"/>
      <selection pane="topRight" activeCell="D1" sqref="D1"/>
      <selection pane="bottomLeft" activeCell="A4" sqref="A4"/>
      <selection pane="bottomRight" activeCell="C7" sqref="C7"/>
    </sheetView>
  </sheetViews>
  <sheetFormatPr defaultColWidth="14.3828125" defaultRowHeight="14.6" x14ac:dyDescent="0.4"/>
  <cols>
    <col min="1" max="1" width="3.15234375" style="8" customWidth="1"/>
    <col min="2" max="2" width="3.3828125" style="8" customWidth="1"/>
    <col min="3" max="3" width="83" style="8" customWidth="1"/>
    <col min="4" max="4" width="15" style="108" customWidth="1"/>
    <col min="5" max="5" width="70.69140625" style="108" bestFit="1" customWidth="1"/>
    <col min="6" max="6" width="75.69140625" style="108" customWidth="1"/>
    <col min="7" max="7" width="77.69140625" style="108" customWidth="1"/>
    <col min="8" max="8" width="30.53515625" style="98" customWidth="1"/>
    <col min="9" max="10" width="24.69140625" style="98" customWidth="1"/>
    <col min="11" max="12" width="19.84375" style="99" customWidth="1"/>
    <col min="13" max="16384" width="14.3828125" style="8"/>
  </cols>
  <sheetData>
    <row r="2" spans="1:12" ht="31.5" customHeight="1" x14ac:dyDescent="0.4">
      <c r="A2" s="1" t="s">
        <v>0</v>
      </c>
      <c r="B2" s="2"/>
      <c r="C2" s="3" t="s">
        <v>1</v>
      </c>
      <c r="D2" s="4" t="s">
        <v>2</v>
      </c>
      <c r="E2" s="4" t="s">
        <v>3</v>
      </c>
      <c r="F2" s="5" t="s">
        <v>4</v>
      </c>
      <c r="G2" s="5" t="s">
        <v>5</v>
      </c>
      <c r="H2" s="6" t="s">
        <v>6</v>
      </c>
      <c r="I2" s="7"/>
      <c r="J2" s="7"/>
      <c r="K2" s="7"/>
      <c r="L2" s="7"/>
    </row>
    <row r="3" spans="1:12" ht="15.9" x14ac:dyDescent="0.4">
      <c r="A3" s="9"/>
      <c r="B3" s="10"/>
      <c r="C3" s="11"/>
      <c r="D3" s="12"/>
      <c r="E3" s="12"/>
      <c r="F3" s="13"/>
      <c r="G3" s="13"/>
      <c r="H3" s="14" t="s">
        <v>7</v>
      </c>
      <c r="I3" s="15" t="s">
        <v>8</v>
      </c>
      <c r="J3" s="15" t="s">
        <v>9</v>
      </c>
      <c r="K3" s="15" t="s">
        <v>10</v>
      </c>
      <c r="L3" s="15" t="s">
        <v>11</v>
      </c>
    </row>
    <row r="4" spans="1:12" ht="30" customHeight="1" x14ac:dyDescent="0.4">
      <c r="A4" s="16">
        <v>1</v>
      </c>
      <c r="B4" s="17"/>
      <c r="C4" s="18" t="s">
        <v>12</v>
      </c>
      <c r="D4" s="19">
        <f>IFERROR((D5+D19+D47),"Tidak Teridentifikasi")</f>
        <v>145</v>
      </c>
      <c r="E4" s="20"/>
      <c r="F4" s="21"/>
      <c r="G4" s="21"/>
      <c r="H4" s="22"/>
      <c r="I4" s="22"/>
      <c r="J4" s="22"/>
      <c r="K4" s="23"/>
      <c r="L4" s="24"/>
    </row>
    <row r="5" spans="1:12" ht="30" customHeight="1" x14ac:dyDescent="0.4">
      <c r="A5" s="16" t="s">
        <v>13</v>
      </c>
      <c r="B5" s="17"/>
      <c r="C5" s="18" t="s">
        <v>14</v>
      </c>
      <c r="D5" s="19">
        <f>IFERROR((D6+D10+D13+D16),"Tidak Teridentifikasi")</f>
        <v>42</v>
      </c>
      <c r="E5" s="25"/>
      <c r="F5" s="26"/>
      <c r="G5" s="26"/>
      <c r="H5" s="27"/>
      <c r="I5" s="27"/>
      <c r="J5" s="27"/>
      <c r="K5" s="28"/>
      <c r="L5" s="29"/>
    </row>
    <row r="6" spans="1:12" ht="30" customHeight="1" x14ac:dyDescent="0.4">
      <c r="A6" s="16">
        <v>1</v>
      </c>
      <c r="B6" s="17"/>
      <c r="C6" s="30" t="s">
        <v>15</v>
      </c>
      <c r="D6" s="19">
        <f>IFERROR((D7+D8+D9),"Tidak Teridentifikasi")</f>
        <v>12</v>
      </c>
      <c r="E6" s="31"/>
      <c r="F6" s="32"/>
      <c r="G6" s="32"/>
      <c r="H6" s="33"/>
      <c r="I6" s="33"/>
      <c r="J6" s="33"/>
      <c r="K6" s="34"/>
      <c r="L6" s="35"/>
    </row>
    <row r="7" spans="1:12" s="45" customFormat="1" ht="87.45" x14ac:dyDescent="0.4">
      <c r="A7" s="36"/>
      <c r="B7" s="37" t="s">
        <v>16</v>
      </c>
      <c r="C7" s="38" t="s">
        <v>17</v>
      </c>
      <c r="D7" s="39">
        <f>'[1]INPUTAN DESA 2026'!F171</f>
        <v>4</v>
      </c>
      <c r="E7" s="39" t="str">
        <f>IF(D7=1,"Tidak Ada PAUD/TK/Sederajat",
IF(D7=2,"Terdapat 1 PAUD/TK/Sederajat",
IF(D7=3,"Terdapat 2 PAUD/TK/Sederajat",
IF(D7=4,"Terdapat 3-4 PAUD/TK/Sederajat",
IF(D7=5,"Terdapat &gt;=5 PAUD/TK/Sederajat","Tidak Teridentifikasi")))))</f>
        <v>Terdapat 3-4 PAUD/TK/Sederajat</v>
      </c>
      <c r="F7" s="39" t="str">
        <f>IF(D7=5,"",IF(D7&lt;5,"Pembangunan, pengembangan dan pemeliharaan sarana 
atau prasarana PAUD/TK/Sederajat sebanyak 5","Tidak Teridentifikasi"))</f>
        <v>Pembangunan, pengembangan dan pemeliharaan sarana 
atau prasarana PAUD/TK/Sederajat sebanyak 5</v>
      </c>
      <c r="G7" s="40" t="s">
        <v>18</v>
      </c>
      <c r="H7" s="41" t="s">
        <v>19</v>
      </c>
      <c r="I7" s="42" t="s">
        <v>20</v>
      </c>
      <c r="J7" s="42" t="s">
        <v>21</v>
      </c>
      <c r="K7" s="43" t="s">
        <v>22</v>
      </c>
      <c r="L7" s="44" t="s">
        <v>23</v>
      </c>
    </row>
    <row r="8" spans="1:12" s="45" customFormat="1" ht="29.15" x14ac:dyDescent="0.4">
      <c r="A8" s="36"/>
      <c r="B8" s="37" t="s">
        <v>24</v>
      </c>
      <c r="C8" s="38" t="s">
        <v>25</v>
      </c>
      <c r="D8" s="39">
        <f>'[1]INPUTAN DESA 2026'!F176</f>
        <v>5</v>
      </c>
      <c r="E8" s="39" t="str">
        <f>IF(D8=1,"Akses Menuju PAUD/TK/Sederajat Sangat Sulit",
IF(D8=2,"Akses Menuju PAUD/TK/Sederajat Sulit",
IF(D8=3,"Akses Menuju PAUD/TK/Sederajat Sedang",
IF(D8=4,"Akses Menuju PAUD/TK/Sederajat Mudah",
IF(D8=5,"Akses Menuju PAUD/TK/Sederajat Sangat Mudah","Tidak Teridentifikasi")))))</f>
        <v>Akses Menuju PAUD/TK/Sederajat Sangat Mudah</v>
      </c>
      <c r="F8" s="39" t="str">
        <f>IF(D8=5,"",IF(D8&lt;5,"Pembangunan sarana dan prasarana transportasi menuju PAUD/TK/Sederajat terdekat dari Desa, sehingga memudahkan baik dari jarak, waktu dan ketersediaan sarana transportasi","Tidak Teridentifikasi"))</f>
        <v/>
      </c>
      <c r="G8" s="40" t="s">
        <v>26</v>
      </c>
      <c r="H8" s="41" t="s">
        <v>19</v>
      </c>
      <c r="I8" s="42" t="s">
        <v>20</v>
      </c>
      <c r="J8" s="42" t="s">
        <v>21</v>
      </c>
      <c r="K8" s="43" t="s">
        <v>22</v>
      </c>
      <c r="L8" s="44" t="s">
        <v>23</v>
      </c>
    </row>
    <row r="9" spans="1:12" s="45" customFormat="1" ht="29.15" x14ac:dyDescent="0.4">
      <c r="A9" s="46"/>
      <c r="B9" s="37" t="s">
        <v>27</v>
      </c>
      <c r="C9" s="38" t="s">
        <v>28</v>
      </c>
      <c r="D9" s="39">
        <f>'[1]INPUTAN DESA 2026'!F179</f>
        <v>3</v>
      </c>
      <c r="E9" s="39" t="str">
        <f>IF(D9=1,"Angka Partisipasi Murni (APM) 0-20%",
IF(D9=2,"Angka Partisipasi Murni (APM) &gt;20-40%",
IF(D9=3,"Angka Partisipasi Murni (APM) &gt;40-60%",
IF(D9=4,"Angka Partisipasi Murni (APM) &gt;60-80%",
IF(D9=5,"Angka Partisipasi Murni (APM) &gt;80-100%","Tidak Teridentifikasi")))))</f>
        <v>Angka Partisipasi Murni (APM) &gt;40-60%</v>
      </c>
      <c r="F9" s="39" t="str">
        <f>IF(D9=5,"",IF(D9&lt;5,"Sosialisasi, Edukasi, keringanan biaya menuju akses pendidikan dan penguatan layanan PAUD/TK/Sederajat Meningkatkan Angka Partisipasi Murni (APM)","Tidak Teridentifikasi"))</f>
        <v>Sosialisasi, Edukasi, keringanan biaya menuju akses pendidikan dan penguatan layanan PAUD/TK/Sederajat Meningkatkan Angka Partisipasi Murni (APM)</v>
      </c>
      <c r="G9" s="40" t="s">
        <v>29</v>
      </c>
      <c r="H9" s="41" t="s">
        <v>19</v>
      </c>
      <c r="I9" s="42" t="s">
        <v>20</v>
      </c>
      <c r="J9" s="42" t="s">
        <v>21</v>
      </c>
      <c r="K9" s="43" t="s">
        <v>22</v>
      </c>
      <c r="L9" s="44" t="s">
        <v>23</v>
      </c>
    </row>
    <row r="10" spans="1:12" ht="30" customHeight="1" x14ac:dyDescent="0.4">
      <c r="A10" s="16">
        <v>2</v>
      </c>
      <c r="B10" s="47"/>
      <c r="C10" s="48" t="s">
        <v>30</v>
      </c>
      <c r="D10" s="19">
        <f>IFERROR((D11+D12),"Tidak Teridentifikasi")</f>
        <v>10</v>
      </c>
      <c r="E10" s="49"/>
      <c r="F10" s="50"/>
      <c r="G10" s="51"/>
      <c r="H10" s="52"/>
      <c r="I10" s="52"/>
      <c r="J10" s="52"/>
      <c r="K10" s="53"/>
      <c r="L10" s="54"/>
    </row>
    <row r="11" spans="1:12" s="45" customFormat="1" ht="29.15" x14ac:dyDescent="0.4">
      <c r="A11" s="36"/>
      <c r="B11" s="37" t="s">
        <v>16</v>
      </c>
      <c r="C11" s="38" t="s">
        <v>31</v>
      </c>
      <c r="D11" s="39">
        <f>'[1]INPUTAN DESA 2026'!F187</f>
        <v>5</v>
      </c>
      <c r="E11" s="39" t="str">
        <f>IF(D11=1,"Akses Menuju SD/MI/Sederajat Sangat Sulit",
IF(D11=2,"Akses Menuju SD/MI/Sederajat Sulit",
IF(D11=3,"Akses Menuju SD/MI/Sederajat Sedang",
IF(D11=4,"Akses Menuju SD/MI/Sederajat Mudah",
IF(D11=5,"Akses Menuju SD/MI/Sederajat Sangat Mudah","Tidak Teridentifikasi")))))</f>
        <v>Akses Menuju SD/MI/Sederajat Sangat Mudah</v>
      </c>
      <c r="F11" s="39" t="str">
        <f>IF(D11=5,"",IF(D11&lt;5,"Pembangunan, pemeliharaan infrastruktur &amp; Ketersediaan Transportasi menuju SD/MI/Sederajat","Tidak Teridentifikasi"))</f>
        <v/>
      </c>
      <c r="G11" s="40" t="s">
        <v>32</v>
      </c>
      <c r="H11" s="41" t="s">
        <v>19</v>
      </c>
      <c r="I11" s="42" t="s">
        <v>20</v>
      </c>
      <c r="J11" s="42" t="s">
        <v>21</v>
      </c>
      <c r="K11" s="43" t="s">
        <v>22</v>
      </c>
      <c r="L11" s="44" t="s">
        <v>23</v>
      </c>
    </row>
    <row r="12" spans="1:12" s="45" customFormat="1" ht="29.15" x14ac:dyDescent="0.4">
      <c r="A12" s="46"/>
      <c r="B12" s="37" t="s">
        <v>24</v>
      </c>
      <c r="C12" s="38" t="s">
        <v>33</v>
      </c>
      <c r="D12" s="39">
        <f>'[1]INPUTAN DESA 2026'!F190</f>
        <v>5</v>
      </c>
      <c r="E12" s="39" t="str">
        <f>IF(D12=1,"Angka Partisipasi Murni (APM) 0-20%",
IF(D12=2,"Angka Partisipasi Murni (APM) &gt;20-40%",
IF(D12=3,"Angka Partisipasi Murni (APM) &gt;40-60%",
IF(D12=4,"Angka Partisipasi Murni (APM) &gt;60-80%",
IF(D12=5,"Angka Partisipasi Murni (APM) &gt;80-100%","Tidak Teridentifikasi")))))</f>
        <v>Angka Partisipasi Murni (APM) &gt;80-100%</v>
      </c>
      <c r="F12" s="39" t="str">
        <f>IF(D12=5,"",IF(D12&lt;5,"Sosialisasi, Edukasi, keringanan biaya agar akses pendidikan dan penguatan layanan SD/MI/Sederajat Untuk Meningkatkan Angka Partisipasi Murni (APM) ","Tidak Teridentifikasi"))</f>
        <v/>
      </c>
      <c r="G12" s="40" t="s">
        <v>29</v>
      </c>
      <c r="H12" s="41" t="s">
        <v>19</v>
      </c>
      <c r="I12" s="42" t="s">
        <v>20</v>
      </c>
      <c r="J12" s="42" t="s">
        <v>21</v>
      </c>
      <c r="K12" s="43" t="s">
        <v>22</v>
      </c>
      <c r="L12" s="44" t="s">
        <v>23</v>
      </c>
    </row>
    <row r="13" spans="1:12" ht="30" customHeight="1" x14ac:dyDescent="0.4">
      <c r="A13" s="16">
        <v>3</v>
      </c>
      <c r="B13" s="47"/>
      <c r="C13" s="48" t="s">
        <v>34</v>
      </c>
      <c r="D13" s="19">
        <f>IFERROR((D14+D15),"Tidak Teridentifikasi")</f>
        <v>10</v>
      </c>
      <c r="E13" s="49"/>
      <c r="F13" s="50"/>
      <c r="G13" s="51"/>
      <c r="H13" s="52"/>
      <c r="I13" s="52"/>
      <c r="J13" s="52"/>
      <c r="K13" s="53"/>
      <c r="L13" s="54"/>
    </row>
    <row r="14" spans="1:12" s="45" customFormat="1" ht="29.15" x14ac:dyDescent="0.4">
      <c r="A14" s="36"/>
      <c r="B14" s="37" t="s">
        <v>16</v>
      </c>
      <c r="C14" s="38" t="s">
        <v>35</v>
      </c>
      <c r="D14" s="39">
        <f>'[1]INPUTAN DESA 2026'!F198</f>
        <v>5</v>
      </c>
      <c r="E14" s="39" t="str">
        <f>IF(D14=1,"Akses Menuju SMP/MTs/Sederajat Sangat Sulit",
IF(D14=2,"Akses Menuju SMP/MTs/Sederajat Sulit",
IF(D14=3,"Akses Menuju SMP/MTs/Sederajat Sedang",
IF(D14=4,"Akses Menuju SMP/MTs/Sederajat Mudah",
IF(D14=5,"Akses Menuju SMP/MTs/Sederajat Sangat Mudah","Tidak Teridentifikasi")))))</f>
        <v>Akses Menuju SMP/MTs/Sederajat Sangat Mudah</v>
      </c>
      <c r="F14" s="39" t="str">
        <f>IF(D14=5,"",IF(D14&lt;5,"Pembangunan, pemeliharaan infrastruktur &amp; Ketersediaan Transportasi menuju SMP/MTs/Sederajat","Tidak Teridentifikasi"))</f>
        <v/>
      </c>
      <c r="G14" s="40" t="s">
        <v>32</v>
      </c>
      <c r="H14" s="41" t="s">
        <v>19</v>
      </c>
      <c r="I14" s="42" t="s">
        <v>20</v>
      </c>
      <c r="J14" s="42" t="s">
        <v>36</v>
      </c>
      <c r="K14" s="43" t="s">
        <v>22</v>
      </c>
      <c r="L14" s="44" t="s">
        <v>23</v>
      </c>
    </row>
    <row r="15" spans="1:12" s="45" customFormat="1" ht="29.15" x14ac:dyDescent="0.4">
      <c r="A15" s="46"/>
      <c r="B15" s="37" t="s">
        <v>24</v>
      </c>
      <c r="C15" s="38" t="s">
        <v>37</v>
      </c>
      <c r="D15" s="39">
        <f>'[1]INPUTAN DESA 2026'!F201</f>
        <v>5</v>
      </c>
      <c r="E15" s="39" t="str">
        <f>IF(D15=1,"Angka Partisipasi Murni (APM) 0-20%",
IF(D15=2,"Angka Partisipasi Murni (APM) &gt;20-40%",
IF(D15=3,"Angka Partisipasi Murni (APM) &gt;40-60%",
IF(D15=4,"Angka Partisipasi Murni (APM) &gt;60-80%",
IF(D15=5,"Angka Partisipasi Murni (APM) &gt;80-100%","Tidak Teridentifikasi")))))</f>
        <v>Angka Partisipasi Murni (APM) &gt;80-100%</v>
      </c>
      <c r="F15" s="39" t="str">
        <f>IF(D15=5,"",IF(D15&lt;5,"Sosialisasi, Edukasi, keringanan biaya agar akses pendidikan dan penguatan layanan SMP/MTs/Sederajat Untuk Meningkatkan Angka Partisipasi Murni (APM)","Tidak Teridentifikasi"))</f>
        <v/>
      </c>
      <c r="G15" s="40" t="s">
        <v>29</v>
      </c>
      <c r="H15" s="41" t="s">
        <v>19</v>
      </c>
      <c r="I15" s="42" t="s">
        <v>20</v>
      </c>
      <c r="J15" s="42" t="s">
        <v>36</v>
      </c>
      <c r="K15" s="43" t="s">
        <v>22</v>
      </c>
      <c r="L15" s="44" t="s">
        <v>23</v>
      </c>
    </row>
    <row r="16" spans="1:12" ht="30" customHeight="1" x14ac:dyDescent="0.4">
      <c r="A16" s="16">
        <v>4</v>
      </c>
      <c r="B16" s="47"/>
      <c r="C16" s="48" t="s">
        <v>38</v>
      </c>
      <c r="D16" s="19">
        <f>IFERROR((D17+D18),"Tidak Teridentifikasi")</f>
        <v>10</v>
      </c>
      <c r="E16" s="49"/>
      <c r="F16" s="50"/>
      <c r="G16" s="51"/>
      <c r="H16" s="52"/>
      <c r="I16" s="52"/>
      <c r="J16" s="52"/>
      <c r="K16" s="53"/>
      <c r="L16" s="54"/>
    </row>
    <row r="17" spans="1:12" s="45" customFormat="1" ht="29.15" x14ac:dyDescent="0.4">
      <c r="A17" s="36"/>
      <c r="B17" s="37" t="s">
        <v>16</v>
      </c>
      <c r="C17" s="38" t="s">
        <v>39</v>
      </c>
      <c r="D17" s="39">
        <f>'[1]INPUTAN DESA 2026'!F209</f>
        <v>5</v>
      </c>
      <c r="E17" s="39" t="str">
        <f>IF(D17=1,"Akses Menuju SMA/SMK/MA/MAK/Sederajat Sangat Sulit",
IF(D17=2,"Akses Menuju SMA/SMK/MA/MAK/Sederajat Sulit",
IF(D17=3,"Akses Menuju SMA/SMK/MA/MAK/Sederajat Sedang",
IF(D17=4,"Akses Menuju SMA/SMK/MA/MAK/Sederajat Mudah",
IF(D17=5,"Akses Menuju SMA/SMK/MA/MAK/Sederajat Sangat Mudah","Tidak Teridentifikasi")))))</f>
        <v>Akses Menuju SMA/SMK/MA/MAK/Sederajat Sangat Mudah</v>
      </c>
      <c r="F17" s="39" t="str">
        <f>IF(D17=5,"",IF(D17&lt;5,"Pembangunan, pemeliharaan infrastruktur &amp; Ketersediaan Transportasi menuju SMP/MTs/Sederajat","Tidak Teridentifikasi"))</f>
        <v/>
      </c>
      <c r="G17" s="40" t="s">
        <v>32</v>
      </c>
      <c r="H17" s="41" t="s">
        <v>19</v>
      </c>
      <c r="I17" s="42" t="s">
        <v>20</v>
      </c>
      <c r="J17" s="42" t="s">
        <v>36</v>
      </c>
      <c r="K17" s="43" t="s">
        <v>22</v>
      </c>
      <c r="L17" s="44" t="s">
        <v>23</v>
      </c>
    </row>
    <row r="18" spans="1:12" s="45" customFormat="1" ht="29.15" x14ac:dyDescent="0.4">
      <c r="A18" s="46"/>
      <c r="B18" s="37" t="s">
        <v>24</v>
      </c>
      <c r="C18" s="38" t="s">
        <v>40</v>
      </c>
      <c r="D18" s="39">
        <f>'[1]INPUTAN DESA 2026'!F212</f>
        <v>5</v>
      </c>
      <c r="E18" s="39" t="str">
        <f>IF(D18=1,"Angka Partisipasi Murni (APM) 0-20%",
IF(D18=2,"Angka Partisipasi Murni (APM) &gt;20-40%",
IF(D18=3,"Angka Partisipasi Murni (APM) &gt;40-60%",
IF(D18=4,"Angka Partisipasi Murni (APM) &gt;60-80%",
IF(D18=5,"Angka Partisipasi Murni (APM) &gt;80-100%","Tidak Teridentifikasi")))))</f>
        <v>Angka Partisipasi Murni (APM) &gt;80-100%</v>
      </c>
      <c r="F18" s="39" t="str">
        <f>IF(D18=5,"",IF(D18&lt;5,"Sosialisasi, Edukasi, keringanan biaya agar akses pendidikan dan penguatan layanan SMA/SMK/MA/MAK/Sederajat Untuk Meningkatkan Angka Partisipasi Murni (APM)","Tidak Teridentifikasi"))</f>
        <v/>
      </c>
      <c r="G18" s="40" t="s">
        <v>29</v>
      </c>
      <c r="H18" s="41" t="s">
        <v>19</v>
      </c>
      <c r="I18" s="42" t="s">
        <v>20</v>
      </c>
      <c r="J18" s="42" t="s">
        <v>36</v>
      </c>
      <c r="K18" s="43" t="s">
        <v>22</v>
      </c>
      <c r="L18" s="44" t="s">
        <v>23</v>
      </c>
    </row>
    <row r="19" spans="1:12" ht="30" customHeight="1" x14ac:dyDescent="0.4">
      <c r="A19" s="16" t="s">
        <v>41</v>
      </c>
      <c r="B19" s="47"/>
      <c r="C19" s="30" t="s">
        <v>42</v>
      </c>
      <c r="D19" s="19">
        <f>IFERROR((D20+D22+D25+D29+D3+D39+D44),"Tidak Teridentifikasi")</f>
        <v>78</v>
      </c>
      <c r="E19" s="20"/>
      <c r="F19" s="21"/>
      <c r="G19" s="55"/>
      <c r="H19" s="56"/>
      <c r="I19" s="56"/>
      <c r="J19" s="56"/>
      <c r="K19" s="57"/>
      <c r="L19" s="58"/>
    </row>
    <row r="20" spans="1:12" ht="30" customHeight="1" x14ac:dyDescent="0.4">
      <c r="A20" s="16">
        <v>5</v>
      </c>
      <c r="B20" s="47"/>
      <c r="C20" s="30" t="s">
        <v>43</v>
      </c>
      <c r="D20" s="19">
        <f>D21</f>
        <v>5</v>
      </c>
      <c r="E20" s="31"/>
      <c r="F20" s="32"/>
      <c r="G20" s="59"/>
      <c r="H20" s="60"/>
      <c r="I20" s="60"/>
      <c r="J20" s="60"/>
      <c r="K20" s="61"/>
      <c r="L20" s="62"/>
    </row>
    <row r="21" spans="1:12" s="45" customFormat="1" ht="29.15" x14ac:dyDescent="0.4">
      <c r="A21" s="36"/>
      <c r="B21" s="37" t="s">
        <v>16</v>
      </c>
      <c r="C21" s="38" t="s">
        <v>44</v>
      </c>
      <c r="D21" s="39">
        <f>'[1]INPUTAN DESA 2026'!F225</f>
        <v>5</v>
      </c>
      <c r="E21" s="39" t="str">
        <f>IF(D21=1,"Akses Menuju Sarana Kesesahan Sangat Sulit",
IF(D21=2,"Akses Menuju Sarana Kesehatan Sulit",
IF(D21=3,"Akses Menuju Sarana Kesehatan Sedang",
IF(D21=4,"Akses Menuju Sarana Kesehatan Mudah",
IF(D21=5,"Akses Menuju Sarana Kesehatan Sangat Mudah","Tidak Teridentifikasi")))))</f>
        <v>Akses Menuju Sarana Kesehatan Sangat Mudah</v>
      </c>
      <c r="F21" s="39" t="str">
        <f>IF(D21=5,"",IF(D21&lt;5,"Pembangunan, Pemeliharaan Infrastruktur &amp; Ketersediaan Transportasi menuju sarana kesehatan Desa, sehingga memudahkan baik dari jarak, waktu dan ketersediaan sarana transportasi","Tidak Teridentifikasi"))</f>
        <v/>
      </c>
      <c r="G21" s="40" t="s">
        <v>32</v>
      </c>
      <c r="H21" s="63" t="s">
        <v>45</v>
      </c>
      <c r="I21" s="64" t="s">
        <v>46</v>
      </c>
      <c r="J21" s="65" t="s">
        <v>47</v>
      </c>
      <c r="K21" s="66" t="s">
        <v>22</v>
      </c>
      <c r="L21" s="44" t="s">
        <v>23</v>
      </c>
    </row>
    <row r="22" spans="1:12" ht="30" customHeight="1" x14ac:dyDescent="0.4">
      <c r="A22" s="16">
        <v>6</v>
      </c>
      <c r="B22" s="47"/>
      <c r="C22" s="48" t="s">
        <v>48</v>
      </c>
      <c r="D22" s="19">
        <f>IFERROR((D23+D24),"Tidak Teridentifikasi")</f>
        <v>10</v>
      </c>
      <c r="E22" s="49"/>
      <c r="F22" s="50"/>
      <c r="G22" s="51"/>
      <c r="H22" s="52"/>
      <c r="I22" s="52"/>
      <c r="J22" s="52"/>
      <c r="K22" s="53"/>
      <c r="L22" s="54"/>
    </row>
    <row r="23" spans="1:12" s="45" customFormat="1" ht="72.900000000000006" x14ac:dyDescent="0.4">
      <c r="A23" s="46"/>
      <c r="B23" s="37" t="s">
        <v>16</v>
      </c>
      <c r="C23" s="38" t="s">
        <v>49</v>
      </c>
      <c r="D23" s="67">
        <f>'[1]INPUTAN DESA 2026'!F234</f>
        <v>5</v>
      </c>
      <c r="E23" s="67" t="str">
        <f>IF(D23=1,"Tidak Ada Poskesdes/Polindes",
IF(D23=5,"Terdapat Poskesdes/Polindes","Tidak Teridentifikasi"))</f>
        <v>Terdapat Poskesdes/Polindes</v>
      </c>
      <c r="F23" s="39" t="str">
        <f>IF(D23=5,"",IF(D23&lt;5,"Pembangunan, Pengembangan &amp; Pemeliharaan Fasilitas Puskesmas, Pembantu/Poskesdes/Polindes di Desa","Tidak Teridentifikasi"))</f>
        <v/>
      </c>
      <c r="G23" s="40" t="s">
        <v>50</v>
      </c>
      <c r="H23" s="63" t="s">
        <v>45</v>
      </c>
      <c r="I23" s="64" t="s">
        <v>46</v>
      </c>
      <c r="J23" s="65" t="s">
        <v>47</v>
      </c>
      <c r="K23" s="66" t="s">
        <v>22</v>
      </c>
      <c r="L23" s="44" t="s">
        <v>23</v>
      </c>
    </row>
    <row r="24" spans="1:12" s="45" customFormat="1" ht="58.3" x14ac:dyDescent="0.4">
      <c r="A24" s="36"/>
      <c r="B24" s="37" t="s">
        <v>24</v>
      </c>
      <c r="C24" s="38" t="s">
        <v>51</v>
      </c>
      <c r="D24" s="39">
        <f>'[1]INPUTAN DESA 2026'!F238</f>
        <v>5</v>
      </c>
      <c r="E24" s="39" t="str">
        <f>IF(D24=1,"Akses Menuju Sarana Kesesahan Sangat Sulit",
IF(D24=2,"Akses Menuju Fasilitas Puskesmas Pembantu (Poskesdes/Polindes) Sulit",
IF(D24=3,"Akses Menuju Fasilitas Puskesmas Pembantu (Poskesdes/Polindes) Sedang",
IF(D24=4,"Akses Menuju Fasilitas Puskesmas Pembantu (Poskesdes/Polindes) Mudah",
IF(D24=5,"Akses Menuju Fasilitas Puskesmas Pembantu (Poskesdes/Polindes) Sangat Mudah","Tidak Teridentifikasi")))))</f>
        <v>Akses Menuju Fasilitas Puskesmas Pembantu (Poskesdes/Polindes) Sangat Mudah</v>
      </c>
      <c r="F24" s="39" t="str">
        <f>IF(D24=5,"",IF(D24&lt;5,"Pembangunan, Pemeliharaan Infrastruktur &amp; Ketersediaan Transportasi menuju Fasilitas Puskesmas Pembantu/Poskesdes/Polindes di Desa, sehingga memudahkan baik dari jarak, waktu dan ketersediaan sarana transportasi","Tidak Teridentifikasi"))</f>
        <v/>
      </c>
      <c r="G24" s="40" t="s">
        <v>52</v>
      </c>
      <c r="H24" s="63" t="s">
        <v>45</v>
      </c>
      <c r="I24" s="64" t="s">
        <v>46</v>
      </c>
      <c r="J24" s="65" t="s">
        <v>47</v>
      </c>
      <c r="K24" s="66" t="s">
        <v>22</v>
      </c>
      <c r="L24" s="44" t="s">
        <v>23</v>
      </c>
    </row>
    <row r="25" spans="1:12" ht="30" customHeight="1" x14ac:dyDescent="0.4">
      <c r="A25" s="68">
        <v>7</v>
      </c>
      <c r="B25" s="69"/>
      <c r="C25" s="48" t="s">
        <v>53</v>
      </c>
      <c r="D25" s="19">
        <f>IFERROR((D26+D27+D28),"Tidak Teridentifikasi")</f>
        <v>15</v>
      </c>
      <c r="E25" s="49"/>
      <c r="F25" s="50"/>
      <c r="G25" s="51"/>
      <c r="H25" s="52"/>
      <c r="I25" s="52"/>
      <c r="J25" s="52"/>
      <c r="K25" s="53"/>
      <c r="L25" s="54"/>
    </row>
    <row r="26" spans="1:12" s="45" customFormat="1" ht="72.900000000000006" x14ac:dyDescent="0.4">
      <c r="A26" s="70"/>
      <c r="B26" s="71" t="s">
        <v>16</v>
      </c>
      <c r="C26" s="38" t="s">
        <v>54</v>
      </c>
      <c r="D26" s="67">
        <f>'[1]INPUTAN DESA 2026'!F240</f>
        <v>5</v>
      </c>
      <c r="E26" s="67" t="str">
        <f>IF(D26=1,"Tidak Ada Posyandu",
IF(D26=5,"Terdapat Posyandu","Tidak Teridentifikasi"))</f>
        <v>Terdapat Posyandu</v>
      </c>
      <c r="F26" s="39" t="str">
        <f>IF(D26=5,"",IF(D26&lt;5,"Pembangunan, Pengembangan &amp; Pemeliharaan Fasilitas Posyandu di Desa","Tidak Teridentifikasi"))</f>
        <v/>
      </c>
      <c r="G26" s="40" t="s">
        <v>50</v>
      </c>
      <c r="H26" s="63" t="s">
        <v>45</v>
      </c>
      <c r="I26" s="64" t="s">
        <v>46</v>
      </c>
      <c r="J26" s="65" t="s">
        <v>47</v>
      </c>
      <c r="K26" s="66" t="s">
        <v>22</v>
      </c>
      <c r="L26" s="44"/>
    </row>
    <row r="27" spans="1:12" s="45" customFormat="1" ht="87.45" x14ac:dyDescent="0.4">
      <c r="A27" s="72"/>
      <c r="B27" s="71" t="s">
        <v>24</v>
      </c>
      <c r="C27" s="38" t="s">
        <v>55</v>
      </c>
      <c r="D27" s="67">
        <f>'[1]INPUTAN DESA 2026'!F241</f>
        <v>5</v>
      </c>
      <c r="E27" s="39" t="str">
        <f>IF(D27=1,"Tidak Ada Aktivitas Posyandu",
IF(D27=2,"Aktivitas Posyandu Ada dan Rutin 1 Kali Per Tahun",
IF(D27=3,"Aktivitas Posyandu Ada dan Rutin 2-4 Kali Per Tahun",
IF(D27=4,"Aktivitas Posyandu Ada dan Rutin 5-7 Kali Per Tahun",
IF(D27=5,"Aktivitas Posyandu Ada dan Rutin &gt;=8 Kali Per Tahun","Tidak Teridentifikasi")))))</f>
        <v>Aktivitas Posyandu Ada dan Rutin &gt;=8 Kali Per Tahun</v>
      </c>
      <c r="F27" s="39" t="str">
        <f>IF(D27=5,"",IF(D27&lt;5,"Mendorong adanya peningkatan aktivitas rutin Posyandu hingga mencapai 12 kali setiap tahun","Tidak Teridentifikasi"))</f>
        <v/>
      </c>
      <c r="G27" s="40" t="s">
        <v>56</v>
      </c>
      <c r="H27" s="63" t="s">
        <v>45</v>
      </c>
      <c r="I27" s="64" t="s">
        <v>46</v>
      </c>
      <c r="J27" s="65" t="s">
        <v>47</v>
      </c>
      <c r="K27" s="66" t="s">
        <v>57</v>
      </c>
      <c r="L27" s="44" t="s">
        <v>23</v>
      </c>
    </row>
    <row r="28" spans="1:12" s="45" customFormat="1" ht="116.6" x14ac:dyDescent="0.4">
      <c r="A28" s="72"/>
      <c r="B28" s="37" t="s">
        <v>27</v>
      </c>
      <c r="C28" s="38" t="s">
        <v>58</v>
      </c>
      <c r="D28" s="39">
        <f>'[1]INPUTAN DESA 2026'!F246</f>
        <v>5</v>
      </c>
      <c r="E28" s="39" t="str">
        <f>IF(D28=1,"Akses Menuju Fasilitas Posyandu Sangat Sulit",
IF(D28=2,"Akses Menuju Fasilitas Posyandu Sulit",
IF(D28=3,"Akses Menuju Fasilitas Posyandu Sedang",
IF(D28=4,"Akses Menuju Fasilitas Posyandu Mudah",
IF(D28=5,"Akses Menuju Fasilitas Posyandu Sangat Mudah","Tidak Teridentifikasi")))))</f>
        <v>Akses Menuju Fasilitas Posyandu Sangat Mudah</v>
      </c>
      <c r="F28" s="39" t="str">
        <f>IF(D28=5,"",IF(D28&lt;5,"Pembangunan, Pemeliharaan Infrastruktur &amp; Ketersediaan Transportasi menuju Fasilitas Posyandu, sehingga memudahkan baik dari jarak, waktu dan ketersediaan sarana transportasi","Tidak Teridentifikasi"))</f>
        <v/>
      </c>
      <c r="G28" s="40" t="s">
        <v>59</v>
      </c>
      <c r="H28" s="63" t="s">
        <v>45</v>
      </c>
      <c r="I28" s="64" t="s">
        <v>46</v>
      </c>
      <c r="J28" s="65" t="s">
        <v>47</v>
      </c>
      <c r="K28" s="66" t="s">
        <v>57</v>
      </c>
      <c r="L28" s="44" t="s">
        <v>23</v>
      </c>
    </row>
    <row r="29" spans="1:12" ht="30" customHeight="1" x14ac:dyDescent="0.4">
      <c r="A29" s="68">
        <v>8</v>
      </c>
      <c r="B29" s="69"/>
      <c r="C29" s="48" t="s">
        <v>60</v>
      </c>
      <c r="D29" s="19">
        <f>IFERROR((D30+D31+D32+D33),"Tidak Teridentifikasi")</f>
        <v>18</v>
      </c>
      <c r="E29" s="49"/>
      <c r="F29" s="50"/>
      <c r="G29" s="51"/>
      <c r="H29" s="52"/>
      <c r="I29" s="52"/>
      <c r="J29" s="52"/>
      <c r="K29" s="53"/>
      <c r="L29" s="54"/>
    </row>
    <row r="30" spans="1:12" s="45" customFormat="1" ht="29.15" x14ac:dyDescent="0.4">
      <c r="A30" s="72"/>
      <c r="B30" s="71" t="s">
        <v>16</v>
      </c>
      <c r="C30" s="38" t="s">
        <v>61</v>
      </c>
      <c r="D30" s="67">
        <f>'[1]INPUTAN DESA 2026'!F255</f>
        <v>5</v>
      </c>
      <c r="E30" s="67" t="str">
        <f>IF(D30=1,"Tidak Tersedia Layanan Dokter di Desa",
IF(D30=5,"Tersedia Layanan Dokter di Desa","Tidak Teridentifikasi"))</f>
        <v>Tersedia Layanan Dokter di Desa</v>
      </c>
      <c r="F30" s="39" t="str">
        <f>IF(D30=5,"",IF(D30&lt;5,"Penyediaan Layanan Dokter melalui sarana kesehatan terdekat dari Desa sehingga Masyarakat terlayani (Rumah Sakit, Puskesmas, dll) - Oleh Supra Desa dan Swasta ","Tidak Teridentifikasi"))</f>
        <v/>
      </c>
      <c r="G30" s="40" t="s">
        <v>62</v>
      </c>
      <c r="H30" s="63" t="s">
        <v>45</v>
      </c>
      <c r="I30" s="64" t="s">
        <v>46</v>
      </c>
      <c r="J30" s="65" t="s">
        <v>47</v>
      </c>
      <c r="K30" s="66" t="s">
        <v>57</v>
      </c>
      <c r="L30" s="44" t="s">
        <v>23</v>
      </c>
    </row>
    <row r="31" spans="1:12" s="45" customFormat="1" ht="29.15" x14ac:dyDescent="0.4">
      <c r="A31" s="72"/>
      <c r="B31" s="71" t="s">
        <v>24</v>
      </c>
      <c r="C31" s="38" t="s">
        <v>63</v>
      </c>
      <c r="D31" s="67">
        <f>'[1]INPUTAN DESA 2026'!F263</f>
        <v>3</v>
      </c>
      <c r="E31" s="39" t="str">
        <f>IF(D31=1,"Layanan Dokter Tidak Memiliki Waktu Operasional Tetap",
IF(D31=3,"Layanan Dokter Tersedia 1 Kali lebih dari Seminggu",
IF(D31=5,"Layanan Dokter Tersedia 1 Kali dalam Seminggu","Tidak Teridentifikasi")))</f>
        <v>Layanan Dokter Tersedia 1 Kali lebih dari Seminggu</v>
      </c>
      <c r="F31" s="39" t="str">
        <f>IF(D31=5,"",IF(D31&lt;5,"Memberikan bantuan operasional untuk akses layanan dokter bagi Desa yang belum memiliki akses layanan kesehatan","Tidak Teridentifikasi"))</f>
        <v>Memberikan bantuan operasional untuk akses layanan dokter bagi Desa yang belum memiliki akses layanan kesehatan</v>
      </c>
      <c r="G31" s="40" t="s">
        <v>62</v>
      </c>
      <c r="H31" s="63" t="s">
        <v>45</v>
      </c>
      <c r="I31" s="64" t="s">
        <v>46</v>
      </c>
      <c r="J31" s="65" t="s">
        <v>47</v>
      </c>
      <c r="K31" s="66" t="s">
        <v>57</v>
      </c>
      <c r="L31" s="44" t="s">
        <v>23</v>
      </c>
    </row>
    <row r="32" spans="1:12" s="45" customFormat="1" ht="29.15" x14ac:dyDescent="0.4">
      <c r="A32" s="73"/>
      <c r="B32" s="71" t="s">
        <v>27</v>
      </c>
      <c r="C32" s="38" t="s">
        <v>64</v>
      </c>
      <c r="D32" s="67">
        <f>'[1]INPUTAN DESA 2026'!F264</f>
        <v>5</v>
      </c>
      <c r="E32" s="67" t="str">
        <f>IF(D32=1,"Tidak Tersedia Dokter di desa",
IF(D32=3,"Penyedia Layanan Dokter berasal dari Yayasan/Swasta/Masyarakat",
IF(D32=5,"Penyedia Layanan Dokter berasal dari Pemerintah","Tidak Teridentifikasi")))</f>
        <v>Penyedia Layanan Dokter berasal dari Pemerintah</v>
      </c>
      <c r="F32" s="39" t="str">
        <f>IF(D32=5,"",IF(D32&lt;5,"Penyediaan Layanan Dokter di Desa oleh Supra Desa dan Swasta","Tidak Teridentifikasi"))</f>
        <v/>
      </c>
      <c r="G32" s="40" t="s">
        <v>62</v>
      </c>
      <c r="H32" s="63" t="s">
        <v>45</v>
      </c>
      <c r="I32" s="64" t="s">
        <v>46</v>
      </c>
      <c r="J32" s="65" t="s">
        <v>47</v>
      </c>
      <c r="K32" s="66" t="s">
        <v>57</v>
      </c>
      <c r="L32" s="44" t="s">
        <v>23</v>
      </c>
    </row>
    <row r="33" spans="1:12" s="45" customFormat="1" ht="29.15" x14ac:dyDescent="0.4">
      <c r="A33" s="72"/>
      <c r="B33" s="71" t="s">
        <v>65</v>
      </c>
      <c r="C33" s="38" t="s">
        <v>66</v>
      </c>
      <c r="D33" s="67">
        <f>'[1]INPUTAN DESA 2026'!F265</f>
        <v>5</v>
      </c>
      <c r="E33" s="67" t="str">
        <f>IF(D33=1,"Tidak Tersedia Sarana Transportasi Penunjang Menuju Layanan Dokter",
IF(D33=5,"Tersedia Sarana Transportasi Penunjang Menuju Layanan Dokter","Tidak Teridentifikasi"))</f>
        <v>Tersedia Sarana Transportasi Penunjang Menuju Layanan Dokter</v>
      </c>
      <c r="F33" s="39" t="str">
        <f>IF(D33=5,"",IF(D33&lt;5,"Melaksanakan kegiatan pengembangan pelayanan kesehatan lainnya berupa layanan transportasi menuju layanan dokter terdekat","Tidak Teridentifikasi"))</f>
        <v/>
      </c>
      <c r="G33" s="40" t="s">
        <v>67</v>
      </c>
      <c r="H33" s="63" t="s">
        <v>45</v>
      </c>
      <c r="I33" s="64" t="s">
        <v>46</v>
      </c>
      <c r="J33" s="65" t="s">
        <v>47</v>
      </c>
      <c r="K33" s="66" t="s">
        <v>57</v>
      </c>
      <c r="L33" s="44" t="s">
        <v>23</v>
      </c>
    </row>
    <row r="34" spans="1:12" ht="30" customHeight="1" x14ac:dyDescent="0.4">
      <c r="A34" s="68">
        <v>9</v>
      </c>
      <c r="B34" s="69"/>
      <c r="C34" s="48" t="s">
        <v>68</v>
      </c>
      <c r="D34" s="19">
        <f>IFERROR((D35+D36+D37+D38),"Tidak Teridentifikasi")</f>
        <v>20</v>
      </c>
      <c r="E34" s="49"/>
      <c r="F34" s="50"/>
      <c r="G34" s="51"/>
      <c r="H34" s="52"/>
      <c r="I34" s="52"/>
      <c r="J34" s="52"/>
      <c r="K34" s="66"/>
      <c r="L34" s="54"/>
    </row>
    <row r="35" spans="1:12" s="45" customFormat="1" ht="29.15" x14ac:dyDescent="0.4">
      <c r="A35" s="72"/>
      <c r="B35" s="71" t="s">
        <v>16</v>
      </c>
      <c r="C35" s="38" t="s">
        <v>69</v>
      </c>
      <c r="D35" s="67">
        <f>'[1]INPUTAN DESA 2026'!F273</f>
        <v>5</v>
      </c>
      <c r="E35" s="67" t="str">
        <f>IF(D35=1,"Tidak Tersedia Layanan Bidan di Desa",
IF(D35=5,"Tersedia Layanan Bidan di Desa","Tidak Teridentifikasi"))</f>
        <v>Tersedia Layanan Bidan di Desa</v>
      </c>
      <c r="F35" s="39" t="str">
        <f>IF(D35=5,"",IF(D35&lt;5,"Penyediaan Layanan Bidan melalui sarana kesehatan terdekat dari Desa sehingga Masyarakat terlayani (Rumah Sakit, Puskesmas, dll) - Oleh Supra Desa dan Swasta","Tidak Teridentifikasi"))</f>
        <v/>
      </c>
      <c r="G35" s="40" t="s">
        <v>62</v>
      </c>
      <c r="H35" s="63" t="s">
        <v>45</v>
      </c>
      <c r="I35" s="64" t="s">
        <v>46</v>
      </c>
      <c r="J35" s="65" t="s">
        <v>47</v>
      </c>
      <c r="K35" s="66" t="s">
        <v>57</v>
      </c>
      <c r="L35" s="44" t="s">
        <v>23</v>
      </c>
    </row>
    <row r="36" spans="1:12" s="45" customFormat="1" ht="29.15" x14ac:dyDescent="0.4">
      <c r="A36" s="72"/>
      <c r="B36" s="71" t="s">
        <v>24</v>
      </c>
      <c r="C36" s="38" t="s">
        <v>70</v>
      </c>
      <c r="D36" s="67">
        <f>'[1]INPUTAN DESA 2026'!F280</f>
        <v>5</v>
      </c>
      <c r="E36" s="39" t="str">
        <f>IF(D36=1,"Layanan Bidan Tidak Memiliki Waktu Operasional Tetap",
IF(D36=3,"Layanan Bidan Tersedia 1 Kali lebih dari Seminggu",
IF(D36=5,"Layanan Bidan Tersedia 1 Kali dalam Seminggu","Tidak Teridentifikasi")))</f>
        <v>Layanan Bidan Tersedia 1 Kali dalam Seminggu</v>
      </c>
      <c r="F36" s="39" t="str">
        <f>IF(D36=5,"",IF(D36&lt;5,"Memberikan bantuan operasional untuk akses layanan bidan bagi Desa yang belum memiliki akses layanan kesehatan","Tidak Teridentifikasi"))</f>
        <v/>
      </c>
      <c r="G36" s="40" t="s">
        <v>62</v>
      </c>
      <c r="H36" s="63" t="s">
        <v>45</v>
      </c>
      <c r="I36" s="64" t="s">
        <v>46</v>
      </c>
      <c r="J36" s="65" t="s">
        <v>47</v>
      </c>
      <c r="K36" s="66" t="s">
        <v>57</v>
      </c>
      <c r="L36" s="44" t="s">
        <v>23</v>
      </c>
    </row>
    <row r="37" spans="1:12" s="45" customFormat="1" ht="29.15" x14ac:dyDescent="0.4">
      <c r="A37" s="73"/>
      <c r="B37" s="71" t="s">
        <v>27</v>
      </c>
      <c r="C37" s="38" t="s">
        <v>71</v>
      </c>
      <c r="D37" s="67">
        <f>'[1]INPUTAN DESA 2026'!F281</f>
        <v>5</v>
      </c>
      <c r="E37" s="67" t="str">
        <f>IF(D37=1,"Tidak Tersedia Bidan di Desa",
IF(D37=3,"Penyedia Layanan Bidan berasal dari Yayasan/Swasta/Masyarakat",
IF(D37=5,"Penyedia Layanan Bidan berasal dari Pemerintah","Tidak Teridentifikasi")))</f>
        <v>Penyedia Layanan Bidan berasal dari Pemerintah</v>
      </c>
      <c r="F37" s="39" t="str">
        <f>IF(D37=5,"",IF(D37&lt;5,"Penyediaan Layanan Bidan di Desa oleh Supra Desa dan Swasta","Tidak Teridentifikasi"))</f>
        <v/>
      </c>
      <c r="G37" s="40" t="s">
        <v>62</v>
      </c>
      <c r="H37" s="63" t="s">
        <v>45</v>
      </c>
      <c r="I37" s="64" t="s">
        <v>46</v>
      </c>
      <c r="J37" s="65" t="s">
        <v>47</v>
      </c>
      <c r="K37" s="66" t="s">
        <v>57</v>
      </c>
      <c r="L37" s="44" t="s">
        <v>23</v>
      </c>
    </row>
    <row r="38" spans="1:12" s="45" customFormat="1" ht="29.15" x14ac:dyDescent="0.4">
      <c r="A38" s="72"/>
      <c r="B38" s="71" t="s">
        <v>65</v>
      </c>
      <c r="C38" s="38" t="s">
        <v>72</v>
      </c>
      <c r="D38" s="67">
        <f>'[1]INPUTAN DESA 2026'!F282</f>
        <v>5</v>
      </c>
      <c r="E38" s="67" t="str">
        <f>IF(D38=1,"Tidak Tersedia Sarana Transportasi Penunjang Menuju Layanan Bidan",
IF(D38=5,"Tersedia Sarana Transportasi Penunjang Menuju Layanan Bidan","Tidak Teridentifikasi"))</f>
        <v>Tersedia Sarana Transportasi Penunjang Menuju Layanan Bidan</v>
      </c>
      <c r="F38" s="39" t="str">
        <f>IF(D38=5,"",IF(D38&lt;5,"Melaksanakan kegiatan pengembangan pelayanan kesehatan lainnya berupa layanan transportasi menuju layanan Bidan terdekat","Tidak Teridentifikasi"))</f>
        <v/>
      </c>
      <c r="G38" s="40" t="s">
        <v>67</v>
      </c>
      <c r="H38" s="63" t="s">
        <v>45</v>
      </c>
      <c r="I38" s="64" t="s">
        <v>46</v>
      </c>
      <c r="J38" s="65" t="s">
        <v>47</v>
      </c>
      <c r="K38" s="66" t="s">
        <v>57</v>
      </c>
      <c r="L38" s="44" t="s">
        <v>23</v>
      </c>
    </row>
    <row r="39" spans="1:12" ht="30" customHeight="1" x14ac:dyDescent="0.4">
      <c r="A39" s="68">
        <v>10</v>
      </c>
      <c r="B39" s="69"/>
      <c r="C39" s="48" t="s">
        <v>73</v>
      </c>
      <c r="D39" s="74">
        <f>IFERROR((D40+D41+D42+D43),"Tidak Teridentifikasi")</f>
        <v>20</v>
      </c>
      <c r="E39" s="75"/>
      <c r="F39" s="76"/>
      <c r="G39" s="77"/>
      <c r="H39" s="52"/>
      <c r="I39" s="52"/>
      <c r="J39" s="52"/>
      <c r="K39" s="53"/>
      <c r="L39" s="78"/>
    </row>
    <row r="40" spans="1:12" s="45" customFormat="1" ht="29.15" x14ac:dyDescent="0.4">
      <c r="A40" s="72"/>
      <c r="B40" s="71" t="s">
        <v>16</v>
      </c>
      <c r="C40" s="38" t="s">
        <v>74</v>
      </c>
      <c r="D40" s="67">
        <f>'[1]INPUTAN DESA 2026'!F290</f>
        <v>5</v>
      </c>
      <c r="E40" s="67" t="str">
        <f>IF(D40=1,"Tidak Tersedia Layanan Tenaga Kesehatan Lainnya di Desa",
IF(D40=5,"Tersedia Layanan Tenaga Kesehatan di Desa","Tidak Teridentifikasi"))</f>
        <v>Tersedia Layanan Tenaga Kesehatan di Desa</v>
      </c>
      <c r="F40" s="39" t="str">
        <f>IF(D40=5,"",IF(D40&lt;5,"Penyediaan Layanan Tenaga Kesehatan lainnya melalui sarana kesehatan terdekat dari Desa sehingga Masyarakat terlayani (Rumah Sakit, Puskesmas, dll) - Oleh Supra Desa dan Swasta","Tidak Teridentifikasi"))</f>
        <v/>
      </c>
      <c r="G40" s="40" t="s">
        <v>62</v>
      </c>
      <c r="H40" s="63" t="s">
        <v>45</v>
      </c>
      <c r="I40" s="64" t="s">
        <v>46</v>
      </c>
      <c r="J40" s="65" t="s">
        <v>47</v>
      </c>
      <c r="K40" s="66" t="s">
        <v>57</v>
      </c>
      <c r="L40" s="44" t="s">
        <v>23</v>
      </c>
    </row>
    <row r="41" spans="1:12" s="45" customFormat="1" ht="29.15" x14ac:dyDescent="0.4">
      <c r="A41" s="72"/>
      <c r="B41" s="71" t="s">
        <v>24</v>
      </c>
      <c r="C41" s="38" t="s">
        <v>75</v>
      </c>
      <c r="D41" s="67">
        <f>'[1]INPUTAN DESA 2026'!F292</f>
        <v>5</v>
      </c>
      <c r="E41" s="39" t="str">
        <f>IF(D41=1,"Layanan Tenaga Kesehatan Lainnya Tidak Memiliki Waktu Operasional Tetap",
IF(D41=3,"Layanan Tenaga Kesehatan Lainnya Tersedia 1 Kali lebih dari Seminggu",
IF(D41=5,"Layanan Tenaga Kesehatan Lainnya Tersedia 1 Kali dalam Seminggu","Tidak Teridentifikasi")))</f>
        <v>Layanan Tenaga Kesehatan Lainnya Tersedia 1 Kali dalam Seminggu</v>
      </c>
      <c r="F41" s="39" t="str">
        <f>IF(D41=5,"",IF(D41&lt;5,"Memberikan bantuan operasional untuk akses layanan Tenaga Kesehatan Lainnya bagi Desa yang belum memiliki akses layanan kesehatan","Tidak Teridentifikasi"))</f>
        <v/>
      </c>
      <c r="G41" s="40" t="s">
        <v>62</v>
      </c>
      <c r="H41" s="63" t="s">
        <v>45</v>
      </c>
      <c r="I41" s="64" t="s">
        <v>46</v>
      </c>
      <c r="J41" s="65" t="s">
        <v>47</v>
      </c>
      <c r="K41" s="66" t="s">
        <v>57</v>
      </c>
      <c r="L41" s="44" t="s">
        <v>23</v>
      </c>
    </row>
    <row r="42" spans="1:12" s="45" customFormat="1" ht="29.15" x14ac:dyDescent="0.4">
      <c r="A42" s="73"/>
      <c r="B42" s="71" t="s">
        <v>27</v>
      </c>
      <c r="C42" s="38" t="s">
        <v>76</v>
      </c>
      <c r="D42" s="67">
        <f>'[1]INPUTAN DESA 2026'!F293</f>
        <v>5</v>
      </c>
      <c r="E42" s="67" t="str">
        <f>IF(D42=1,"Tidak Tersedia Layanan Kesehatan",
IF(D42=3,"Penyedia Layanan Tenaga Kesehatan Lainnya berasal dari Yayasan/Swasta/Masyarakat",
IF(D42=5,"Penyedia Layanan Tenaga Kesehatan Lainnya berasal dari Pemerintah","Tidak Teridentifikasi")))</f>
        <v>Penyedia Layanan Tenaga Kesehatan Lainnya berasal dari Pemerintah</v>
      </c>
      <c r="F42" s="39" t="str">
        <f>IF(D42=5,"",IF(D42&lt;5,"Penyediaan Layanan Tenaga Kesehatan Lainnya di Desa oleh Supra Desa dan Swasta","Tidak Teridentifikasi"))</f>
        <v/>
      </c>
      <c r="G42" s="40" t="s">
        <v>62</v>
      </c>
      <c r="H42" s="63" t="s">
        <v>45</v>
      </c>
      <c r="I42" s="64" t="s">
        <v>46</v>
      </c>
      <c r="J42" s="65" t="s">
        <v>47</v>
      </c>
      <c r="K42" s="66" t="s">
        <v>57</v>
      </c>
      <c r="L42" s="44" t="s">
        <v>23</v>
      </c>
    </row>
    <row r="43" spans="1:12" s="45" customFormat="1" ht="29.15" x14ac:dyDescent="0.4">
      <c r="A43" s="72"/>
      <c r="B43" s="71" t="s">
        <v>65</v>
      </c>
      <c r="C43" s="38" t="s">
        <v>77</v>
      </c>
      <c r="D43" s="67">
        <f>'[1]INPUTAN DESA 2026'!F294</f>
        <v>5</v>
      </c>
      <c r="E43" s="67" t="str">
        <f>IF(D43=1,"Tidak Tersedia Sarana Transportasi Penunjang Menuju Layanan Tenaga Kesehatan Lainnya ",
IF(D43=5,"Tersedia Sarana Transportasi Penunjang Menuju Layanan Tenaga Kesehatan Lainnya ","Tidak Teridentifikasi"))</f>
        <v xml:space="preserve">Tersedia Sarana Transportasi Penunjang Menuju Layanan Tenaga Kesehatan Lainnya </v>
      </c>
      <c r="F43" s="39" t="str">
        <f>IF(D43=5,"",IF(D43&lt;5,"Melaksanakan kegiatan pengembangan pelayanan kesehatan lainnya berupa layanan transportasi menuju layanan Tenaga Kesehatan Lainnya terdekat","Tidak Teridentifikasi"))</f>
        <v/>
      </c>
      <c r="G43" s="40" t="s">
        <v>67</v>
      </c>
      <c r="H43" s="63" t="s">
        <v>45</v>
      </c>
      <c r="I43" s="64" t="s">
        <v>46</v>
      </c>
      <c r="J43" s="65" t="s">
        <v>47</v>
      </c>
      <c r="K43" s="66" t="s">
        <v>57</v>
      </c>
      <c r="L43" s="44" t="s">
        <v>23</v>
      </c>
    </row>
    <row r="44" spans="1:12" ht="30" customHeight="1" x14ac:dyDescent="0.4">
      <c r="A44" s="68">
        <v>11</v>
      </c>
      <c r="B44" s="69"/>
      <c r="C44" s="48" t="s">
        <v>78</v>
      </c>
      <c r="D44" s="74">
        <f>IFERROR((D45+D46),"Tidak Teridentifikasi")</f>
        <v>10</v>
      </c>
      <c r="E44" s="75"/>
      <c r="F44" s="76"/>
      <c r="G44" s="77"/>
      <c r="H44" s="52"/>
      <c r="I44" s="52"/>
      <c r="J44" s="52"/>
      <c r="K44" s="53"/>
      <c r="L44" s="54"/>
    </row>
    <row r="45" spans="1:12" s="45" customFormat="1" ht="29.15" x14ac:dyDescent="0.4">
      <c r="A45" s="72"/>
      <c r="B45" s="71" t="s">
        <v>16</v>
      </c>
      <c r="C45" s="38" t="s">
        <v>79</v>
      </c>
      <c r="D45" s="39">
        <f>'[1]INPUTAN DESA 2026'!F303</f>
        <v>5</v>
      </c>
      <c r="E45" s="39" t="str">
        <f>IF(D45=1,"Persentase Keanggotaan BPJS 0-20%",
IF(D45=2,"Persentase Keanggotaan BPJS &gt;20-40%",
IF(D45=3,"Persentase Keanggotaan BPJS &gt;40-60%",
IF(D45=4,"Persentase Keanggotaan BPJS &gt;60-80%",
IF(D45=5,"Persentase Keanggotaan BPJS &gt;80-100%","Tidak Teridentifikasi")))))</f>
        <v>Persentase Keanggotaan BPJS &gt;80-100%</v>
      </c>
      <c r="F45" s="39" t="str">
        <f>IF(D45=5,"",IF(D45&lt;5,"Melaksanakan sosialisasi, promosi dan advokasi kebijakan pelaksanaan program jaminan kesehatan nasional melalui komunikasi, informasi dan edukasi","Tidak Teridentifikasi"))</f>
        <v/>
      </c>
      <c r="G45" s="40" t="s">
        <v>80</v>
      </c>
      <c r="H45" s="63" t="s">
        <v>45</v>
      </c>
      <c r="I45" s="64" t="s">
        <v>46</v>
      </c>
      <c r="J45" s="65" t="s">
        <v>47</v>
      </c>
      <c r="K45" s="66" t="s">
        <v>57</v>
      </c>
      <c r="L45" s="44" t="s">
        <v>23</v>
      </c>
    </row>
    <row r="46" spans="1:12" s="45" customFormat="1" ht="29.15" x14ac:dyDescent="0.4">
      <c r="A46" s="72"/>
      <c r="B46" s="71" t="s">
        <v>24</v>
      </c>
      <c r="C46" s="38" t="s">
        <v>81</v>
      </c>
      <c r="D46" s="67">
        <f>'[1]INPUTAN DESA 2026'!F304</f>
        <v>5</v>
      </c>
      <c r="E46" s="67" t="str">
        <f>IF(D46=1,"Tidak Terdapat Kegiatan Sosialisasi dan/atau Advokasi terkait Program Jaminan Kesehatan Nasional di Desa",
IF(D46=5,"Terdapat Kegiatan Sosialisasi dan/atau Advokasi terkait Program Jaminan Kesehatan Nasional di Desa","Tidak Teridentifikasi"))</f>
        <v>Terdapat Kegiatan Sosialisasi dan/atau Advokasi terkait Program Jaminan Kesehatan Nasional di Desa</v>
      </c>
      <c r="F46" s="39" t="str">
        <f>IF(D46=5,"",IF(D46&lt;5,"Melaksanakan sosialisasi, promosi dan advokasi kebijakan pelaksanaan program jaminan kesehatan nasional melalui komunikasi, informasi dan edukasi","Tidak Teridentifikasi"))</f>
        <v/>
      </c>
      <c r="G46" s="40" t="s">
        <v>80</v>
      </c>
      <c r="H46" s="63" t="s">
        <v>45</v>
      </c>
      <c r="I46" s="64" t="s">
        <v>46</v>
      </c>
      <c r="J46" s="65" t="s">
        <v>47</v>
      </c>
      <c r="K46" s="66" t="s">
        <v>57</v>
      </c>
      <c r="L46" s="44" t="s">
        <v>23</v>
      </c>
    </row>
    <row r="47" spans="1:12" ht="30" customHeight="1" x14ac:dyDescent="0.4">
      <c r="A47" s="68" t="s">
        <v>82</v>
      </c>
      <c r="B47" s="69"/>
      <c r="C47" s="30" t="s">
        <v>83</v>
      </c>
      <c r="D47" s="19">
        <f>IFERROR((D48+D53),"Tidak Teridentifikasi")</f>
        <v>25</v>
      </c>
      <c r="E47" s="20"/>
      <c r="F47" s="21"/>
      <c r="G47" s="55"/>
      <c r="H47" s="56"/>
      <c r="I47" s="56"/>
      <c r="J47" s="56"/>
      <c r="K47" s="57"/>
      <c r="L47" s="58"/>
    </row>
    <row r="48" spans="1:12" ht="30" customHeight="1" x14ac:dyDescent="0.4">
      <c r="A48" s="68">
        <v>12</v>
      </c>
      <c r="B48" s="69"/>
      <c r="C48" s="48" t="s">
        <v>84</v>
      </c>
      <c r="D48" s="19">
        <f>IFERROR((D49+D50+D51+D52),"Tidak Teridentifikasi")</f>
        <v>20</v>
      </c>
      <c r="E48" s="31"/>
      <c r="F48" s="32"/>
      <c r="G48" s="59"/>
      <c r="H48" s="60"/>
      <c r="I48" s="60"/>
      <c r="J48" s="60"/>
      <c r="K48" s="61"/>
      <c r="L48" s="62"/>
    </row>
    <row r="49" spans="1:12" s="45" customFormat="1" ht="116.6" x14ac:dyDescent="0.4">
      <c r="A49" s="72"/>
      <c r="B49" s="71" t="s">
        <v>16</v>
      </c>
      <c r="C49" s="38" t="s">
        <v>85</v>
      </c>
      <c r="D49" s="67">
        <f>'[1]INPUTAN DESA 2026'!F313</f>
        <v>5</v>
      </c>
      <c r="E49" s="39" t="str">
        <f>IF(D49=1,"Air Minum Tersedia &lt;4 Hari",
IF(D49=3,"Air Minum Tersedia 4-6 Hari",
IF(D49=5,"Air Minum Tersedia Setiap Hari","Tidak Teridentifikasi")))</f>
        <v>Air Minum Tersedia Setiap Hari</v>
      </c>
      <c r="F49" s="39" t="str">
        <f>IF(D49=5,"",IF(D49&lt;5,"Melaksanakan pembangunan, pemeliharaan dan pengembangan sarana prasarana air minum","Tidak Teridentifikasi"))</f>
        <v/>
      </c>
      <c r="G49" s="40" t="s">
        <v>86</v>
      </c>
      <c r="H49" s="63" t="s">
        <v>87</v>
      </c>
      <c r="I49" s="64" t="s">
        <v>46</v>
      </c>
      <c r="J49" s="64" t="s">
        <v>88</v>
      </c>
      <c r="K49" s="66" t="s">
        <v>57</v>
      </c>
      <c r="L49" s="44" t="s">
        <v>23</v>
      </c>
    </row>
    <row r="50" spans="1:12" s="45" customFormat="1" ht="116.6" x14ac:dyDescent="0.4">
      <c r="A50" s="73"/>
      <c r="B50" s="71" t="s">
        <v>24</v>
      </c>
      <c r="C50" s="38" t="s">
        <v>89</v>
      </c>
      <c r="D50" s="67">
        <f>'[1]INPUTAN DESA 2026'!F315</f>
        <v>5</v>
      </c>
      <c r="E50" s="67" t="str">
        <f>IF(D50=1,"Sangat Sedikit Warga di Desa yang Bisa Mengakses Air Minum (&lt;50% Terakses)",
IF(D50=3,"Sebagian Warga di Desa yang Bisa Mengakses Air Minum (50-100% Terakses)",
IF(D50=5,"Seluruh Warga di Desa Sudah Bisa Mengakses Air Minum (100% Terakses)","Tidak Teridentifikasi")))</f>
        <v>Seluruh Warga di Desa Sudah Bisa Mengakses Air Minum (100% Terakses)</v>
      </c>
      <c r="F50" s="39" t="str">
        <f>IF(D50=5,"",IF(D50&lt;5,"Melaksanakan pembangunan, pemeliharaan dan pengembangan sarana prasarana air minum","Tidak Teridentifikasi"))</f>
        <v/>
      </c>
      <c r="G50" s="40" t="s">
        <v>86</v>
      </c>
      <c r="H50" s="63" t="s">
        <v>87</v>
      </c>
      <c r="I50" s="64" t="s">
        <v>46</v>
      </c>
      <c r="J50" s="64" t="s">
        <v>88</v>
      </c>
      <c r="K50" s="66" t="s">
        <v>57</v>
      </c>
      <c r="L50" s="44" t="s">
        <v>23</v>
      </c>
    </row>
    <row r="51" spans="1:12" s="45" customFormat="1" ht="116.6" x14ac:dyDescent="0.4">
      <c r="A51" s="73"/>
      <c r="B51" s="71" t="s">
        <v>27</v>
      </c>
      <c r="C51" s="38" t="s">
        <v>90</v>
      </c>
      <c r="D51" s="67">
        <f>'[1]INPUTAN DESA 2026'!F316</f>
        <v>5</v>
      </c>
      <c r="E51" s="39" t="str">
        <f>IF(D51=1,"Akses Air Minum Sulit (Masih Menggunakan 1 Sumber Mata Air/Masih Menggunakan Air Tanah)",
IF(D51=3,"Akses Air Minum Sedang (Sebagian Sudah Terlayani PDAM dan Sebagian Lainnya Menggunakan Air Tanah)",
IF(D51=5,"Akses Air Minum Mudah (Sudah TErlayani PDAM Secara Menyeluruh)","Tidak Teridentifikasi")))</f>
        <v>Akses Air Minum Mudah (Sudah TErlayani PDAM Secara Menyeluruh)</v>
      </c>
      <c r="F51" s="39" t="str">
        <f>IF(D51=5,"",IF(D51&lt;5,"Melaksanakan pembangunan, pemeliharaan dan pengembangan sarana prasarana air minum","Tidak Teridentifikasi"))</f>
        <v/>
      </c>
      <c r="G51" s="40" t="s">
        <v>86</v>
      </c>
      <c r="H51" s="63" t="s">
        <v>87</v>
      </c>
      <c r="I51" s="64" t="s">
        <v>46</v>
      </c>
      <c r="J51" s="64" t="s">
        <v>88</v>
      </c>
      <c r="K51" s="66" t="s">
        <v>57</v>
      </c>
      <c r="L51" s="44" t="s">
        <v>23</v>
      </c>
    </row>
    <row r="52" spans="1:12" s="45" customFormat="1" ht="131.15" x14ac:dyDescent="0.4">
      <c r="A52" s="72"/>
      <c r="B52" s="71" t="s">
        <v>65</v>
      </c>
      <c r="C52" s="38" t="s">
        <v>91</v>
      </c>
      <c r="D52" s="67">
        <f>'[1]INPUTAN DESA 2026'!F318</f>
        <v>5</v>
      </c>
      <c r="E52" s="67" t="str">
        <f>IF(D52=1,"Kualitas Air Minum Tidak Layak (Berbau, Berwarna &amp; Berasa)",
IF(D52=5,"Kualitas Air Minum Layak (Tidak Berbau, Tidak Berwarna dan Tidak Berasa)","Tidak Teridentifikasi"))</f>
        <v>Kualitas Air Minum Layak (Tidak Berbau, Tidak Berwarna dan Tidak Berasa)</v>
      </c>
      <c r="F52" s="39" t="str">
        <f>IF(D52=5,"",IF(D52&lt;5,"Melaksanakan petatihan pengelolaan air minum dan pemeliharaan sarana prasarana air minum, melaksanakan sosialisasi pencamaran air bersih,","Tidak Teridentifikasi"))</f>
        <v/>
      </c>
      <c r="G52" s="40" t="s">
        <v>92</v>
      </c>
      <c r="H52" s="63" t="s">
        <v>87</v>
      </c>
      <c r="I52" s="64" t="s">
        <v>46</v>
      </c>
      <c r="J52" s="64" t="s">
        <v>88</v>
      </c>
      <c r="K52" s="66" t="s">
        <v>57</v>
      </c>
      <c r="L52" s="44" t="s">
        <v>23</v>
      </c>
    </row>
    <row r="53" spans="1:12" ht="30" customHeight="1" x14ac:dyDescent="0.4">
      <c r="A53" s="68">
        <v>13</v>
      </c>
      <c r="B53" s="69"/>
      <c r="C53" s="48" t="s">
        <v>93</v>
      </c>
      <c r="D53" s="19">
        <f>D54</f>
        <v>5</v>
      </c>
      <c r="E53" s="49"/>
      <c r="F53" s="50"/>
      <c r="G53" s="51"/>
      <c r="H53" s="52"/>
      <c r="I53" s="52"/>
      <c r="J53" s="52"/>
      <c r="K53" s="53"/>
      <c r="L53" s="54"/>
    </row>
    <row r="54" spans="1:12" s="45" customFormat="1" ht="43.75" x14ac:dyDescent="0.4">
      <c r="A54" s="72"/>
      <c r="B54" s="71" t="s">
        <v>16</v>
      </c>
      <c r="C54" s="38" t="s">
        <v>94</v>
      </c>
      <c r="D54" s="39">
        <f>'[1]INPUTAN DESA 2026'!F321</f>
        <v>5</v>
      </c>
      <c r="E54" s="39" t="str">
        <f>IF(D54=1,"Persentase Rumah Tidak Layak Huni &gt;80-100%",
IF(D54=2,"Persentase Rumah Tidak Layak Huni &gt;60-80%",
IF(D54=3,"Persentase Rumah Tidak Layak Huni &gt;40-60%",
IF(D54=4,"Persentase Rumah Tidak Layak Huni &gt;20-40%",
IF(D54=5,"Persentase Rumah Tidak Layak Huni 0-20%","Tidak Teridentifikasi")))))</f>
        <v>Persentase Rumah Tidak Layak Huni 0-20%</v>
      </c>
      <c r="F54" s="39" t="str">
        <f>IF(D54=5,"",IF(D54&lt;5,"Bantuan pembangunan, dan rehabilitasi rumah
layak huni dan sehat untuk warga miskin","Tidak Teridentifikasi"))</f>
        <v/>
      </c>
      <c r="G54" s="40" t="s">
        <v>95</v>
      </c>
      <c r="H54" s="63" t="s">
        <v>87</v>
      </c>
      <c r="I54" s="64" t="s">
        <v>46</v>
      </c>
      <c r="J54" s="64" t="s">
        <v>88</v>
      </c>
      <c r="K54" s="66" t="s">
        <v>57</v>
      </c>
      <c r="L54" s="44" t="s">
        <v>23</v>
      </c>
    </row>
    <row r="55" spans="1:12" ht="30" customHeight="1" x14ac:dyDescent="0.4">
      <c r="A55" s="68">
        <v>2</v>
      </c>
      <c r="B55" s="69"/>
      <c r="C55" s="18" t="s">
        <v>96</v>
      </c>
      <c r="D55" s="19">
        <f>IFERROR((D56+D75),"Tidak Teridentifikasi")</f>
        <v>85</v>
      </c>
      <c r="E55" s="20"/>
      <c r="F55" s="21"/>
      <c r="G55" s="55"/>
      <c r="H55" s="56"/>
      <c r="I55" s="56"/>
      <c r="J55" s="56"/>
      <c r="K55" s="57"/>
      <c r="L55" s="58"/>
    </row>
    <row r="56" spans="1:12" ht="30" customHeight="1" x14ac:dyDescent="0.4">
      <c r="A56" s="68" t="s">
        <v>97</v>
      </c>
      <c r="B56" s="69"/>
      <c r="C56" s="18" t="s">
        <v>98</v>
      </c>
      <c r="D56" s="19">
        <f>IFERROR((D57+D60+D64+D66+D72),"Tidak Teridentifikasi")</f>
        <v>65</v>
      </c>
      <c r="E56" s="25"/>
      <c r="F56" s="26"/>
      <c r="G56" s="79"/>
      <c r="H56" s="80"/>
      <c r="I56" s="80"/>
      <c r="J56" s="80"/>
      <c r="K56" s="81"/>
      <c r="L56" s="82"/>
    </row>
    <row r="57" spans="1:12" ht="30" customHeight="1" x14ac:dyDescent="0.4">
      <c r="A57" s="68">
        <v>14</v>
      </c>
      <c r="B57" s="69"/>
      <c r="C57" s="30" t="s">
        <v>99</v>
      </c>
      <c r="D57" s="19">
        <f>IFERROR((D58+D59),"Tidak Teridentifikasi")</f>
        <v>10</v>
      </c>
      <c r="E57" s="83"/>
      <c r="F57" s="84"/>
      <c r="G57" s="85"/>
      <c r="H57" s="60"/>
      <c r="I57" s="60"/>
      <c r="J57" s="60"/>
      <c r="K57" s="61"/>
      <c r="L57" s="62"/>
    </row>
    <row r="58" spans="1:12" s="45" customFormat="1" ht="102" x14ac:dyDescent="0.4">
      <c r="A58" s="72"/>
      <c r="B58" s="71" t="s">
        <v>16</v>
      </c>
      <c r="C58" s="86" t="s">
        <v>100</v>
      </c>
      <c r="D58" s="67">
        <f>'[1]INPUTAN DESA 2026'!F325</f>
        <v>5</v>
      </c>
      <c r="E58" s="67" t="str">
        <f>IF(D58=1,"Tidak Terdapat Kearifan Budaya/Sosial/Keagamaan yang Ada/Menjadi Ciri Khas Desa",
IF(D58=5,"Terdapat Kearifan Budaya/Sosial/Keagamaan yang Ada/Menjadi Ciri Khas Desa","Tidak Teridentifikasi"))</f>
        <v>Terdapat Kearifan Budaya/Sosial/Keagamaan yang Ada/Menjadi Ciri Khas Desa</v>
      </c>
      <c r="F58" s="39" t="str">
        <f>IF(D58=5,"",IF(D58&lt;5,"Peningkatan kapasitas seni budaya bagi warga Desa","Tidak Teridentifikasi"))</f>
        <v/>
      </c>
      <c r="G58" s="40" t="s">
        <v>101</v>
      </c>
      <c r="H58" s="87" t="s">
        <v>102</v>
      </c>
      <c r="I58" s="88" t="s">
        <v>103</v>
      </c>
      <c r="J58" s="88" t="s">
        <v>104</v>
      </c>
      <c r="K58" s="78" t="s">
        <v>105</v>
      </c>
      <c r="L58" s="44" t="s">
        <v>23</v>
      </c>
    </row>
    <row r="59" spans="1:12" s="45" customFormat="1" ht="102" x14ac:dyDescent="0.4">
      <c r="A59" s="72"/>
      <c r="B59" s="71" t="s">
        <v>24</v>
      </c>
      <c r="C59" s="86" t="s">
        <v>106</v>
      </c>
      <c r="D59" s="67">
        <f>'[1]INPUTAN DESA 2026'!F327</f>
        <v>5</v>
      </c>
      <c r="E59" s="67" t="str">
        <f>IF(D59=1,"Tidak Ada Kearifan Budaya/Sosial yang Dipertahankan",
IF(D59=3,"Kurang dari 3 Kearifan Budaya/Sosial yang Dipertahankan",
IF(D59=5,"Lebih dari 3 Kearifan Budaya/Sosial yang Dipertahankan","Tidak Teridentifikasi")))</f>
        <v>Lebih dari 3 Kearifan Budaya/Sosial yang Dipertahankan</v>
      </c>
      <c r="F59" s="39" t="str">
        <f>IF(D59=5,"",IF(D59&lt;5,"pembangunan, pengembangan dan pemeliharaan sarana atau prasarana adat atau budaya seperti taman seni, galeri atau museum desa, cagar budaya, situs bersejarah milik desa, peralatan kesenian dan kebudayaan, gedung sanggar seni/ruang ekonomi kreatif;","Tidak Teridentifikasi"))</f>
        <v/>
      </c>
      <c r="G59" s="40" t="s">
        <v>101</v>
      </c>
      <c r="H59" s="87" t="s">
        <v>102</v>
      </c>
      <c r="I59" s="88" t="s">
        <v>107</v>
      </c>
      <c r="J59" s="88" t="s">
        <v>107</v>
      </c>
      <c r="K59" s="78" t="s">
        <v>108</v>
      </c>
      <c r="L59" s="44" t="s">
        <v>23</v>
      </c>
    </row>
    <row r="60" spans="1:12" ht="30" customHeight="1" x14ac:dyDescent="0.4">
      <c r="A60" s="68">
        <v>15</v>
      </c>
      <c r="B60" s="69"/>
      <c r="C60" s="30" t="s">
        <v>109</v>
      </c>
      <c r="D60" s="19">
        <f>IFERROR((D61+D62+D63),"Tidak Teridentifikasi")</f>
        <v>15</v>
      </c>
      <c r="E60" s="89"/>
      <c r="F60" s="90"/>
      <c r="G60" s="91"/>
      <c r="H60" s="52"/>
      <c r="I60" s="52"/>
      <c r="J60" s="52"/>
      <c r="K60" s="53"/>
      <c r="L60" s="54"/>
    </row>
    <row r="61" spans="1:12" s="45" customFormat="1" ht="72.900000000000006" x14ac:dyDescent="0.4">
      <c r="A61" s="72"/>
      <c r="B61" s="71" t="s">
        <v>16</v>
      </c>
      <c r="C61" s="38" t="s">
        <v>110</v>
      </c>
      <c r="D61" s="67">
        <f>'[1]INPUTAN DESA 2026'!F330</f>
        <v>5</v>
      </c>
      <c r="E61" s="67" t="str">
        <f>IF(D61=1,"Tidak Ada Kegiatan Gotong Royong di Desa",
IF(D61=5,"Terdapat Kegiatan Gotong Royong di Desa","Tidak Teridentifikasi"))</f>
        <v>Terdapat Kegiatan Gotong Royong di Desa</v>
      </c>
      <c r="F61" s="39" t="str">
        <f>IF(D61=5,"",IF(D61&lt;5,"Sosialisasi dan Advokasi dalam Pelestarian gotong Royong dalam Pembangunan bidang pembinaan dan pemberdayaan masyarakat desa","Tidak Teridentifikasi"))</f>
        <v/>
      </c>
      <c r="G61" s="40" t="s">
        <v>111</v>
      </c>
      <c r="H61" s="87" t="s">
        <v>112</v>
      </c>
      <c r="I61" s="88" t="s">
        <v>113</v>
      </c>
      <c r="J61" s="88" t="s">
        <v>113</v>
      </c>
      <c r="K61" s="78" t="s">
        <v>114</v>
      </c>
      <c r="L61" s="44" t="s">
        <v>23</v>
      </c>
    </row>
    <row r="62" spans="1:12" s="45" customFormat="1" ht="87.45" x14ac:dyDescent="0.4">
      <c r="A62" s="72"/>
      <c r="B62" s="71" t="s">
        <v>24</v>
      </c>
      <c r="C62" s="38" t="s">
        <v>115</v>
      </c>
      <c r="D62" s="67">
        <f>'[1]INPUTAN DESA 2026'!F335</f>
        <v>5</v>
      </c>
      <c r="E62" s="67" t="str">
        <f>IF(D62=1,"Tidak Terdapat Kegiatan Gotong Royong di Desa",
IF(D62=3,"Terdapat 1-2 Kegiatan Gotong Royong di Desa dalam 1 Bulan",
IF(D62=5,"Terdapat &gt;2 Kegiatan Gotong Royong di Desa dalam 1 Bulan","Tidak Teridentifikasi")))</f>
        <v>Terdapat &gt;2 Kegiatan Gotong Royong di Desa dalam 1 Bulan</v>
      </c>
      <c r="F62" s="39" t="str">
        <f>IF(D62=5,"",IF(D62&lt;5,"Sosialisasi dan Advokasi dalam Pelestarian gotong Royong dalam Pembangunan bidang pembinaan dan pemberdayaan masyarakat desa","Tidak Teridentifikasi"))</f>
        <v/>
      </c>
      <c r="G62" s="40" t="s">
        <v>111</v>
      </c>
      <c r="H62" s="87" t="s">
        <v>112</v>
      </c>
      <c r="I62" s="88" t="s">
        <v>113</v>
      </c>
      <c r="J62" s="88" t="s">
        <v>113</v>
      </c>
      <c r="K62" s="78" t="s">
        <v>116</v>
      </c>
      <c r="L62" s="44" t="s">
        <v>23</v>
      </c>
    </row>
    <row r="63" spans="1:12" s="45" customFormat="1" ht="87.45" x14ac:dyDescent="0.4">
      <c r="A63" s="72"/>
      <c r="B63" s="71" t="s">
        <v>27</v>
      </c>
      <c r="C63" s="38" t="s">
        <v>117</v>
      </c>
      <c r="D63" s="67">
        <f>'[1]INPUTAN DESA 2026'!F336</f>
        <v>5</v>
      </c>
      <c r="E63" s="67" t="str">
        <f>IF(D63=1,"Tidak Terdapat Keterlibatan Warga dalam Kegiatan Gotong Royong di Desa",
IF(D63=3,"Sebagian Kecil Warga Terlibat (&lt;50% Warga Terlibat)",
IF(D63=5,"Sebagian Besar Warga Terlibat (&gt;= 50% Warga Terlibat)","Tidak Teridentifikasi")))</f>
        <v>Sebagian Besar Warga Terlibat (&gt;= 50% Warga Terlibat)</v>
      </c>
      <c r="F63" s="39" t="str">
        <f>IF(D63=5,"",IF(D63&lt;5,"Sosialisasi dan Advokasi dalam Pelestarian gotong Royong dalam Pembangunan bidang pembinaan dan pemberdayaan masyarakat desa","Tidak Teridentifikasi"))</f>
        <v/>
      </c>
      <c r="G63" s="40" t="s">
        <v>111</v>
      </c>
      <c r="H63" s="87" t="s">
        <v>112</v>
      </c>
      <c r="I63" s="88" t="s">
        <v>113</v>
      </c>
      <c r="J63" s="88" t="s">
        <v>113</v>
      </c>
      <c r="K63" s="78" t="s">
        <v>116</v>
      </c>
      <c r="L63" s="44" t="s">
        <v>23</v>
      </c>
    </row>
    <row r="64" spans="1:12" ht="30" customHeight="1" x14ac:dyDescent="0.4">
      <c r="A64" s="68">
        <v>16</v>
      </c>
      <c r="B64" s="69"/>
      <c r="C64" s="30" t="s">
        <v>118</v>
      </c>
      <c r="D64" s="19">
        <f>D65</f>
        <v>5</v>
      </c>
      <c r="E64" s="89"/>
      <c r="F64" s="90"/>
      <c r="G64" s="91"/>
      <c r="H64" s="52"/>
      <c r="I64" s="52"/>
      <c r="J64" s="52"/>
      <c r="K64" s="53"/>
      <c r="L64" s="54"/>
    </row>
    <row r="65" spans="1:12" s="45" customFormat="1" ht="43.75" x14ac:dyDescent="0.4">
      <c r="A65" s="72"/>
      <c r="B65" s="71" t="s">
        <v>16</v>
      </c>
      <c r="C65" s="38" t="s">
        <v>119</v>
      </c>
      <c r="D65" s="39">
        <f>'[1]INPUTAN DESA 2026'!F347</f>
        <v>5</v>
      </c>
      <c r="E65" s="39" t="str">
        <f>IF(D65=1,"Rata-rata Tidak Terdapat kegiatan Olahraga dalam 1 Bulan",
IF(D65=2,"Terdapat 1 Kali Kegiatan Olahraga dalam 1 Bulan",
IF(D65=3,"Terdapat 2-3 Kali Kegiatan Olahraga dalam 1 Bulan",
IF(D65=4,"Terdapat 4-5 Kali Kegiatan Olahraga dalam 1 Bulan",
IF(D65=5,"Terdapat &gt;5 Kali Kegiatan Olahraga dalam 1 Bulan","Tidak Teridentifikasi")))))</f>
        <v>Terdapat &gt;5 Kali Kegiatan Olahraga dalam 1 Bulan</v>
      </c>
      <c r="F65" s="39" t="str">
        <f>IF(D65=5,"",IF(D65&lt;5,"Mendorong adanya aktivitas olahraga di Desa","Tidak Teridentifikasi"))</f>
        <v/>
      </c>
      <c r="G65" s="40" t="s">
        <v>120</v>
      </c>
      <c r="H65" s="87" t="s">
        <v>121</v>
      </c>
      <c r="I65" s="88" t="s">
        <v>122</v>
      </c>
      <c r="J65" s="88" t="s">
        <v>122</v>
      </c>
      <c r="K65" s="78" t="s">
        <v>123</v>
      </c>
      <c r="L65" s="78" t="s">
        <v>124</v>
      </c>
    </row>
    <row r="66" spans="1:12" ht="30" customHeight="1" x14ac:dyDescent="0.4">
      <c r="A66" s="68">
        <v>17</v>
      </c>
      <c r="B66" s="69"/>
      <c r="C66" s="48" t="s">
        <v>125</v>
      </c>
      <c r="D66" s="19">
        <f>IFERROR((D67+D68+D69+D70+D71),"Tidak Teridentifikasi")</f>
        <v>25</v>
      </c>
      <c r="E66" s="89"/>
      <c r="F66" s="90"/>
      <c r="G66" s="91"/>
      <c r="H66" s="52"/>
      <c r="I66" s="52"/>
      <c r="J66" s="52"/>
      <c r="K66" s="53"/>
      <c r="L66" s="54"/>
    </row>
    <row r="67" spans="1:12" s="45" customFormat="1" ht="102" x14ac:dyDescent="0.4">
      <c r="A67" s="72"/>
      <c r="B67" s="71" t="s">
        <v>16</v>
      </c>
      <c r="C67" s="38" t="s">
        <v>126</v>
      </c>
      <c r="D67" s="67">
        <f>'[1]INPUTAN DESA 2026'!F365</f>
        <v>5</v>
      </c>
      <c r="E67" s="67" t="str">
        <f>IF(D67=1,"Tidak Ada Penyelesaian Konflik Secara Damai",
IF(D67=3,"Ada Penyelesaian Konflik Tetapi Tidak Tuntas)",
IF(D67=5,"Ada Penyelesaian Konflik Secara Damai)","Tidak Teridentifikasi")))</f>
        <v>Ada Penyelesaian Konflik Secara Damai)</v>
      </c>
      <c r="F67" s="39" t="str">
        <f>IF(D67=5,"",IF(D67&lt;5,"Melaksanakan penyuluhan, sosialisasi bidang hukum dan perlindungan masyarakat","Tidak Teridentifikasi"))</f>
        <v/>
      </c>
      <c r="G67" s="40" t="s">
        <v>127</v>
      </c>
      <c r="H67" s="87" t="s">
        <v>128</v>
      </c>
      <c r="I67" s="92" t="s">
        <v>129</v>
      </c>
      <c r="J67" s="92" t="s">
        <v>130</v>
      </c>
      <c r="K67" s="78" t="s">
        <v>131</v>
      </c>
      <c r="L67" s="78" t="s">
        <v>132</v>
      </c>
    </row>
    <row r="68" spans="1:12" s="45" customFormat="1" ht="72.900000000000006" x14ac:dyDescent="0.4">
      <c r="A68" s="72"/>
      <c r="B68" s="71" t="s">
        <v>24</v>
      </c>
      <c r="C68" s="38" t="s">
        <v>133</v>
      </c>
      <c r="D68" s="67">
        <f>'[1]INPUTAN DESA 2026'!F366</f>
        <v>5</v>
      </c>
      <c r="E68" s="67" t="str">
        <f>IF(D68=1,"Tidak Ada Peranan Aparat Keamanan menjadi Mediator/ Penengah dalam Penyelesaian Konflik",
IF(D68=5,"Ada Peranan Aparat Keamanan menjadi Mediator/ Penengah dalam Penyelesaian Konflik","Tidak Teridentifikasi"))</f>
        <v>Ada Peranan Aparat Keamanan menjadi Mediator/ Penengah dalam Penyelesaian Konflik</v>
      </c>
      <c r="F68" s="39" t="str">
        <f>IF(D68=5,"",IF(D68&lt;5,"Melaksanakan penyuluhan, sosialisasi bidang hukum dan perlindungan masyarakat oleh aparat keamanan","Tidak Teridentifikasi"))</f>
        <v/>
      </c>
      <c r="G68" s="40" t="s">
        <v>127</v>
      </c>
      <c r="H68" s="87" t="s">
        <v>134</v>
      </c>
      <c r="I68" s="88" t="s">
        <v>135</v>
      </c>
      <c r="J68" s="88" t="s">
        <v>135</v>
      </c>
      <c r="K68" s="78" t="s">
        <v>136</v>
      </c>
      <c r="L68" s="78" t="s">
        <v>137</v>
      </c>
    </row>
    <row r="69" spans="1:12" s="45" customFormat="1" ht="72.900000000000006" x14ac:dyDescent="0.4">
      <c r="A69" s="72"/>
      <c r="B69" s="71" t="s">
        <v>27</v>
      </c>
      <c r="C69" s="38" t="s">
        <v>138</v>
      </c>
      <c r="D69" s="67">
        <f>'[1]INPUTAN DESA 2026'!F367</f>
        <v>5</v>
      </c>
      <c r="E69" s="67" t="str">
        <f>IF(D69=1,"Tidak Ada Peranan Pemerintah menjadi Mediator/ Penengah dalam Penyelesaian Konflik",
IF(D69=5,"Ada Peranan Aparat Pemerintah menjadi Mediator/ Penengah dalam Penyelesaian Konflik","Tidak Teridentifikasi"))</f>
        <v>Ada Peranan Aparat Pemerintah menjadi Mediator/ Penengah dalam Penyelesaian Konflik</v>
      </c>
      <c r="F69" s="39" t="str">
        <f>IF(D69=5,"",IF(D69&lt;5,"Melaksanakan penyuluhan, sosialisasi bidang hukum dan perlindungan masyarakat oleh aparat pemerintah","Tidak Teridentifikasi"))</f>
        <v/>
      </c>
      <c r="G69" s="40" t="s">
        <v>127</v>
      </c>
      <c r="H69" s="87" t="s">
        <v>139</v>
      </c>
      <c r="I69" s="88" t="s">
        <v>140</v>
      </c>
      <c r="J69" s="88" t="s">
        <v>141</v>
      </c>
      <c r="K69" s="78" t="s">
        <v>142</v>
      </c>
      <c r="L69" s="78" t="s">
        <v>143</v>
      </c>
    </row>
    <row r="70" spans="1:12" s="45" customFormat="1" ht="72.900000000000006" x14ac:dyDescent="0.4">
      <c r="A70" s="72"/>
      <c r="B70" s="71" t="s">
        <v>65</v>
      </c>
      <c r="C70" s="38" t="s">
        <v>144</v>
      </c>
      <c r="D70" s="67">
        <f>'[1]INPUTAN DESA 2026'!F368</f>
        <v>5</v>
      </c>
      <c r="E70" s="67" t="str">
        <f>IF(D70=1,"Tidak Ada Peranan Tokoh Masyarakat menjadi Mediator/ Penengah dalam Penyelesaian Konflik",
IF(D70=5,"Ada Peranan Tokoh Masyarakat menjadi Mediator/ Penengah dalam Penyelesaian Konflik","Tidak Teridentifikasi"))</f>
        <v>Ada Peranan Tokoh Masyarakat menjadi Mediator/ Penengah dalam Penyelesaian Konflik</v>
      </c>
      <c r="F70" s="39" t="str">
        <f>IF(D70=5,"",IF(D70&lt;5,"Melaksanakan penyuluhan, sosialisasi bidang hukum dan perlindungan masyarakat oleh tokoh masyarakat","Tidak Teridentifikasi"))</f>
        <v/>
      </c>
      <c r="G70" s="40" t="s">
        <v>127</v>
      </c>
      <c r="H70" s="87" t="s">
        <v>145</v>
      </c>
      <c r="I70" s="88" t="s">
        <v>146</v>
      </c>
      <c r="J70" s="88" t="s">
        <v>147</v>
      </c>
      <c r="K70" s="78" t="s">
        <v>142</v>
      </c>
      <c r="L70" s="78" t="s">
        <v>148</v>
      </c>
    </row>
    <row r="71" spans="1:12" s="45" customFormat="1" ht="72.900000000000006" x14ac:dyDescent="0.4">
      <c r="A71" s="72"/>
      <c r="B71" s="71" t="s">
        <v>149</v>
      </c>
      <c r="C71" s="38" t="s">
        <v>150</v>
      </c>
      <c r="D71" s="67">
        <f>'[1]INPUTAN DESA 2026'!F369</f>
        <v>5</v>
      </c>
      <c r="E71" s="67" t="str">
        <f>IF(D71=1,"Tidak Ada Peranan Tokoh Agama menjadi Mediator/ Penengah dalam Penyelesaian Konflik",
IF(D71=5,"Ada Peranan Tokoh Agama menjadi Mediator/ Penengah dalam Penyelesaian Konflik","Tidak Teridentifikasi"))</f>
        <v>Ada Peranan Tokoh Agama menjadi Mediator/ Penengah dalam Penyelesaian Konflik</v>
      </c>
      <c r="F71" s="39" t="str">
        <f>IF(D71=5,"",IF(D71&lt;5,"Melaksanakan penyuluhan, sosialisasi bidang hukum dan perlindungan masyarakat oleh tokoh agama","Tidak Teridentifikasi"))</f>
        <v/>
      </c>
      <c r="G71" s="40" t="s">
        <v>127</v>
      </c>
      <c r="H71" s="87" t="s">
        <v>151</v>
      </c>
      <c r="I71" s="88" t="s">
        <v>152</v>
      </c>
      <c r="J71" s="88" t="s">
        <v>153</v>
      </c>
      <c r="K71" s="78" t="s">
        <v>154</v>
      </c>
      <c r="L71" s="78" t="s">
        <v>155</v>
      </c>
    </row>
    <row r="72" spans="1:12" ht="30" customHeight="1" x14ac:dyDescent="0.4">
      <c r="A72" s="68">
        <v>18</v>
      </c>
      <c r="B72" s="69"/>
      <c r="C72" s="30" t="s">
        <v>156</v>
      </c>
      <c r="D72" s="19">
        <f>IFERROR((D73+D74),"Tidak Teridentifikasi")</f>
        <v>10</v>
      </c>
      <c r="E72" s="89"/>
      <c r="F72" s="90"/>
      <c r="G72" s="91"/>
      <c r="H72" s="52"/>
      <c r="I72" s="52"/>
      <c r="J72" s="52"/>
      <c r="K72" s="53"/>
      <c r="L72" s="54"/>
    </row>
    <row r="73" spans="1:12" s="45" customFormat="1" ht="58.3" x14ac:dyDescent="0.4">
      <c r="A73" s="72"/>
      <c r="B73" s="71" t="s">
        <v>16</v>
      </c>
      <c r="C73" s="38" t="s">
        <v>157</v>
      </c>
      <c r="D73" s="67">
        <f>'[1]INPUTAN DESA 2026'!F371</f>
        <v>5</v>
      </c>
      <c r="E73" s="67" t="str">
        <f>IF(D73=1,"Tidak Ada Satuan Keamanan Lingkungan (Satkamling) di Desa",
IF(D73=5,"Ada Satuan Keamanan Lingkungan (Satkamling) di Desa","Tidak Teridentifikasi"))</f>
        <v>Ada Satuan Keamanan Lingkungan (Satkamling) di Desa</v>
      </c>
      <c r="F73" s="39" t="str">
        <f>IF(D73=5,"",IF(D73&lt;5,"Pembentukan,Pengadaan,Penyelenggaraan Satuan Keamanan Lingkungan di desa","Tidak Teridentifikasi"))</f>
        <v/>
      </c>
      <c r="G73" s="40" t="s">
        <v>158</v>
      </c>
      <c r="H73" s="87" t="s">
        <v>159</v>
      </c>
      <c r="I73" s="88" t="s">
        <v>160</v>
      </c>
      <c r="J73" s="88" t="s">
        <v>160</v>
      </c>
      <c r="K73" s="78" t="s">
        <v>161</v>
      </c>
      <c r="L73" s="78" t="s">
        <v>162</v>
      </c>
    </row>
    <row r="74" spans="1:12" s="45" customFormat="1" ht="58.3" x14ac:dyDescent="0.4">
      <c r="A74" s="72"/>
      <c r="B74" s="71" t="s">
        <v>24</v>
      </c>
      <c r="C74" s="38" t="s">
        <v>163</v>
      </c>
      <c r="D74" s="67">
        <f>'[1]INPUTAN DESA 2026'!F372</f>
        <v>5</v>
      </c>
      <c r="E74" s="39" t="str">
        <f>IF(D74=1,"Tidak Ada Aktivitas Satkamling di Desa",
IF(D74=2,"Terdapat 1 Kali Aktivitas Satkamling di Desa",
IF(D74=3,"Terdapat 2 Kali Aktivitas Satkamling di Desa",
IF(D74=4,"Terdapat 3 Kali Aktivitas Satkamling di Desa",
IF(D74=5,"Terdapat &gt;3 Kali Aktivitas Satkamling di Desa","Tidak Teridentifikasi")))))</f>
        <v>Terdapat &gt;3 Kali Aktivitas Satkamling di Desa</v>
      </c>
      <c r="F74" s="39" t="str">
        <f>IF(D74=5,"",IF(D74&lt;5,"Penyelenggaraan satkamling dan Penguatan/Peningkatan Kapasitas Tenaga Keamanan / Ketertiban oleh Pemerintah Desa","Tidak Teridentifikasi"))</f>
        <v/>
      </c>
      <c r="G74" s="40" t="s">
        <v>158</v>
      </c>
      <c r="H74" s="87" t="s">
        <v>164</v>
      </c>
      <c r="I74" s="88" t="s">
        <v>140</v>
      </c>
      <c r="J74" s="88" t="s">
        <v>140</v>
      </c>
      <c r="K74" s="78" t="s">
        <v>165</v>
      </c>
      <c r="L74" s="78" t="s">
        <v>162</v>
      </c>
    </row>
    <row r="75" spans="1:12" ht="30" customHeight="1" x14ac:dyDescent="0.4">
      <c r="A75" s="68" t="s">
        <v>166</v>
      </c>
      <c r="B75" s="69"/>
      <c r="C75" s="18" t="s">
        <v>167</v>
      </c>
      <c r="D75" s="19">
        <f>IFERROR((D76+D79+D81),"Tidak Teridentifikasi")</f>
        <v>20</v>
      </c>
      <c r="E75" s="20"/>
      <c r="F75" s="21"/>
      <c r="G75" s="55"/>
      <c r="H75" s="56"/>
      <c r="I75" s="56"/>
      <c r="J75" s="56"/>
      <c r="K75" s="57"/>
      <c r="L75" s="58"/>
    </row>
    <row r="76" spans="1:12" ht="30" customHeight="1" x14ac:dyDescent="0.4">
      <c r="A76" s="68">
        <v>19</v>
      </c>
      <c r="B76" s="69"/>
      <c r="C76" s="30" t="s">
        <v>168</v>
      </c>
      <c r="D76" s="19">
        <f>IFERROR((D77+D78),"Tidak Teridentifikasi")</f>
        <v>10</v>
      </c>
      <c r="E76" s="83"/>
      <c r="F76" s="84"/>
      <c r="G76" s="85"/>
      <c r="H76" s="60"/>
      <c r="I76" s="60"/>
      <c r="J76" s="60"/>
      <c r="K76" s="61"/>
      <c r="L76" s="62"/>
    </row>
    <row r="77" spans="1:12" s="45" customFormat="1" ht="72.900000000000006" x14ac:dyDescent="0.4">
      <c r="A77" s="72"/>
      <c r="B77" s="71" t="s">
        <v>16</v>
      </c>
      <c r="C77" s="86" t="s">
        <v>169</v>
      </c>
      <c r="D77" s="67">
        <f>'[1]INPUTAN DESA 2026'!F375</f>
        <v>5</v>
      </c>
      <c r="E77" s="67" t="str">
        <f>IF(D77=1,"Tidak Ada Taman Bacaan Masyarakat/ Perpustakaan Desa",
IF(D77=5,"Ada Taman Bacaan Masyarakat/ Perpustakaan Desa","Tidak Teridentifikasi"))</f>
        <v>Ada Taman Bacaan Masyarakat/ Perpustakaan Desa</v>
      </c>
      <c r="F77" s="39" t="str">
        <f>IF(D77=5,"",IF(D77&lt;5,"Pembangunan, pengembangan dan pemeliharaan sarana atau prasarana perpustakaan desa/taman bacaan masyarakat/sanggar belajar","Tidak Teridentifikasi"))</f>
        <v/>
      </c>
      <c r="G77" s="40" t="s">
        <v>170</v>
      </c>
      <c r="H77" s="87" t="s">
        <v>171</v>
      </c>
      <c r="I77" s="88" t="s">
        <v>172</v>
      </c>
      <c r="J77" s="88" t="s">
        <v>173</v>
      </c>
      <c r="K77" s="78" t="s">
        <v>174</v>
      </c>
      <c r="L77" s="78" t="s">
        <v>175</v>
      </c>
    </row>
    <row r="78" spans="1:12" s="45" customFormat="1" ht="58.3" x14ac:dyDescent="0.4">
      <c r="A78" s="72"/>
      <c r="B78" s="71" t="s">
        <v>24</v>
      </c>
      <c r="C78" s="38" t="s">
        <v>176</v>
      </c>
      <c r="D78" s="67">
        <f>'[1]INPUTAN DESA 2026'!F376</f>
        <v>5</v>
      </c>
      <c r="E78" s="39" t="str">
        <f>IF(D78=1,"Tidak Beroperasi Taman Bacaan Masyarakat/ Perpustakaan Desa",
IF(D78=2,"Taman Bacaan Masyarakat/ Perpustakaan Desa Beroperasi Selama 1 Hari",
IF(D78=3,"Taman Bacaan Masyarakat/ Perpustakaan Desa Beroperasi Selama 2-3 Hari",
IF(D78=4,"Taman Bacaan Masyarakat/ Perpustakaan Desa Beroperasi Selama 4-5 Hari",
IF(D78=5,"Taman Bacaan Masyarakat/ Perpustakaan Desa Beroperasi Selama 6-7 Hari","Tidak Teridentifikasi")))))</f>
        <v>Taman Bacaan Masyarakat/ Perpustakaan Desa Beroperasi Selama 6-7 Hari</v>
      </c>
      <c r="F78" s="39" t="str">
        <f>IF(D78=5,"",IF(D78&lt;5,"
Sosialisasi, pengelolaan, pelayanan, dan pengembangan Taman bacaan masyarakat / perpustakaan desa","Tidak Teridentifikasi"))</f>
        <v/>
      </c>
      <c r="G78" s="40" t="s">
        <v>177</v>
      </c>
      <c r="H78" s="87" t="s">
        <v>178</v>
      </c>
      <c r="I78" s="88" t="s">
        <v>172</v>
      </c>
      <c r="J78" s="88" t="s">
        <v>173</v>
      </c>
      <c r="K78" s="78" t="s">
        <v>174</v>
      </c>
      <c r="L78" s="78" t="s">
        <v>175</v>
      </c>
    </row>
    <row r="79" spans="1:12" ht="30" customHeight="1" x14ac:dyDescent="0.4">
      <c r="A79" s="68">
        <v>20</v>
      </c>
      <c r="B79" s="69"/>
      <c r="C79" s="30" t="s">
        <v>179</v>
      </c>
      <c r="D79" s="19">
        <f>D80</f>
        <v>5</v>
      </c>
      <c r="E79" s="93"/>
      <c r="F79" s="93"/>
      <c r="G79" s="94"/>
      <c r="H79" s="95"/>
      <c r="I79" s="96"/>
      <c r="J79" s="96"/>
      <c r="K79" s="97"/>
      <c r="L79" s="97"/>
    </row>
    <row r="80" spans="1:12" s="45" customFormat="1" ht="58.3" x14ac:dyDescent="0.4">
      <c r="A80" s="72"/>
      <c r="B80" s="71" t="s">
        <v>16</v>
      </c>
      <c r="C80" s="38" t="s">
        <v>180</v>
      </c>
      <c r="D80" s="39">
        <f>'[1]INPUTAN DESA 2026'!F378</f>
        <v>5</v>
      </c>
      <c r="E80" s="39" t="str">
        <f>IF(D80=1,"Rata-rata Tidak Terdapat Fasilitas Olahraga di Desa",
IF(D80=2,"Rata-rata Kondisi/ Keadaan Sebagian Besar Fasilitas Olahraga di Desa dalam Kondisi Rusak Parah",
IF(D80=3,"Rata-rata Kondisi/ Keadaan Sebagian Besar Fasilitas Olahraga di Desa dalam Kondisi Rusak Sedang",
IF(D80=4,"Rata-rata Kondisi/ Keadaan Sebagian Besar Fasilitas Olahraga di Desa dalam Kondisi Rusak Ringan",
IF(D80=5,"Rata-rata Kondisi/ Keadaan Sebagian Besar Fasilitas Olahraga di Desa dalam Kondisi Baik","Tidak Teridentifikasi")))))</f>
        <v>Rata-rata Kondisi/ Keadaan Sebagian Besar Fasilitas Olahraga di Desa dalam Kondisi Baik</v>
      </c>
      <c r="F80" s="39" t="str">
        <f>IF(D80=5,"",IF(D80&lt;5,"pembangunan, pengembangan dan pemeliharaan sarana
atau prasarana olahraga","Tidak Teridentifikasi"))</f>
        <v/>
      </c>
      <c r="G80" s="40" t="s">
        <v>181</v>
      </c>
      <c r="H80" s="87" t="s">
        <v>182</v>
      </c>
      <c r="I80" s="88" t="s">
        <v>183</v>
      </c>
      <c r="J80" s="88" t="s">
        <v>184</v>
      </c>
      <c r="K80" s="78" t="s">
        <v>185</v>
      </c>
      <c r="L80" s="78" t="s">
        <v>186</v>
      </c>
    </row>
    <row r="81" spans="1:12" ht="30" customHeight="1" x14ac:dyDescent="0.4">
      <c r="A81" s="68">
        <v>21</v>
      </c>
      <c r="B81" s="69"/>
      <c r="C81" s="30" t="s">
        <v>187</v>
      </c>
      <c r="D81" s="19">
        <f>D82</f>
        <v>5</v>
      </c>
      <c r="E81" s="89"/>
      <c r="F81" s="90"/>
      <c r="G81" s="91"/>
      <c r="H81" s="52"/>
      <c r="I81" s="52"/>
      <c r="J81" s="52"/>
      <c r="K81" s="53"/>
      <c r="L81" s="54"/>
    </row>
    <row r="82" spans="1:12" s="45" customFormat="1" ht="58.3" x14ac:dyDescent="0.4">
      <c r="A82" s="72"/>
      <c r="B82" s="71" t="s">
        <v>16</v>
      </c>
      <c r="C82" s="38" t="s">
        <v>188</v>
      </c>
      <c r="D82" s="39">
        <f>'[1]INPUTAN DESA 2026'!F389</f>
        <v>5</v>
      </c>
      <c r="E82" s="39" t="str">
        <f>IF(D82=1,"Rata-rata Tidak Terdapat Fasilitas Ruang Publik Terbuka di Desa",
IF(D82=2,"Rata-rata Kondisi/ Keadaan Sebagian Besar Fasilitas Ruang Publik Terbuka di Desa dalam Kondisi Rusak Parah",
IF(D82=3,"Rata-rata Kondisi/ Keadaan Sebagian Besar Fasilitas Ruang Publik Terbuka di Desa dalam Kondisi Rusak Sedang",
IF(D82=4,"Rata-rata Kondisi/ Keadaan Sebagian Besar Fasilitas Ruang Publik Terbuka di Desa dalam Kondisi Rusak Ringan",
IF(D82=5,"Rata-rata Kondisi/ Keadaan Sebagian Besar Fasilitas Ruang Publik Terbuka di Desa dalam Kondisi Baik","Tidak Teridentifikasi")))))</f>
        <v>Rata-rata Kondisi/ Keadaan Sebagian Besar Fasilitas Ruang Publik Terbuka di Desa dalam Kondisi Baik</v>
      </c>
      <c r="F82" s="39" t="str">
        <f>IF(D82=5,"",IF(D82&lt;5,"Pembangunan, pengembangan dan pemeliharaan sarana atau prasarana olahraga, keterampilan, adat atau budaya","Tidak Teridentifikasi"))</f>
        <v/>
      </c>
      <c r="G82" s="40" t="s">
        <v>189</v>
      </c>
      <c r="H82" s="87" t="s">
        <v>190</v>
      </c>
      <c r="I82" s="88" t="s">
        <v>191</v>
      </c>
      <c r="J82" s="88" t="s">
        <v>191</v>
      </c>
      <c r="K82" s="78" t="s">
        <v>154</v>
      </c>
      <c r="L82" s="78" t="s">
        <v>192</v>
      </c>
    </row>
    <row r="83" spans="1:12" ht="30" customHeight="1" x14ac:dyDescent="0.4">
      <c r="A83" s="68">
        <v>3</v>
      </c>
      <c r="B83" s="69"/>
      <c r="C83" s="18" t="s">
        <v>193</v>
      </c>
      <c r="D83" s="19">
        <f>IFERROR((D84+D97),"Tidak Teridentifikasi")</f>
        <v>132</v>
      </c>
      <c r="E83" s="20"/>
      <c r="F83" s="21"/>
      <c r="G83" s="55"/>
      <c r="H83" s="56"/>
      <c r="I83" s="56"/>
      <c r="J83" s="56"/>
      <c r="K83" s="57"/>
      <c r="L83" s="58"/>
    </row>
    <row r="84" spans="1:12" ht="30" customHeight="1" x14ac:dyDescent="0.4">
      <c r="A84" s="68" t="s">
        <v>194</v>
      </c>
      <c r="B84" s="69"/>
      <c r="C84" s="18" t="s">
        <v>195</v>
      </c>
      <c r="D84" s="19">
        <f>IFERROR((D85+D88+D92+D94),"Tidak Teridentifikasi")</f>
        <v>32</v>
      </c>
      <c r="E84" s="25"/>
      <c r="F84" s="26"/>
      <c r="G84" s="79"/>
      <c r="H84" s="80"/>
      <c r="I84" s="80"/>
      <c r="J84" s="80"/>
      <c r="K84" s="81"/>
      <c r="L84" s="82"/>
    </row>
    <row r="85" spans="1:12" ht="30" customHeight="1" x14ac:dyDescent="0.4">
      <c r="A85" s="68">
        <v>22</v>
      </c>
      <c r="B85" s="69"/>
      <c r="C85" s="30" t="s">
        <v>196</v>
      </c>
      <c r="D85" s="19">
        <f>IFERROR((D86+D87),"Tidak Teridentifikasi")</f>
        <v>10</v>
      </c>
      <c r="E85" s="31"/>
      <c r="F85" s="32"/>
      <c r="G85" s="59"/>
      <c r="H85" s="60"/>
      <c r="I85" s="60"/>
      <c r="J85" s="60"/>
      <c r="K85" s="61"/>
      <c r="L85" s="62"/>
    </row>
    <row r="86" spans="1:12" s="45" customFormat="1" ht="145.75" x14ac:dyDescent="0.4">
      <c r="A86" s="72"/>
      <c r="B86" s="71" t="s">
        <v>16</v>
      </c>
      <c r="C86" s="38" t="s">
        <v>197</v>
      </c>
      <c r="D86" s="67">
        <f>'[1]INPUTAN DESA 2026'!F401</f>
        <v>5</v>
      </c>
      <c r="E86" s="67" t="str">
        <f>IF(D86=1,"Terdapat 1 Keragaman Sektor/ Aktivitas Ekonomi",
IF(D86=3,"Terdapat 2 Keragaman Sektor/ Aktivitas Ekonomi",
IF(D86=5,"Terdapat &gt;2 Keragaman Sektor/ Aktivitas Ekonomi","Tidak Teridentifikasi")))</f>
        <v>Terdapat &gt;2 Keragaman Sektor/ Aktivitas Ekonomi</v>
      </c>
      <c r="F86" s="39" t="str">
        <f>IF(D86=5,"",IF(D86&lt;5,"Pengembangan kapasitas Kelompok Masyarakat ekonomi dan kewirausahaan masyarakat Desa","Tidak Teridentifikasi"))</f>
        <v/>
      </c>
      <c r="G86" s="40" t="s">
        <v>198</v>
      </c>
      <c r="H86" s="87" t="s">
        <v>199</v>
      </c>
      <c r="I86" s="88" t="s">
        <v>200</v>
      </c>
      <c r="J86" s="88" t="s">
        <v>201</v>
      </c>
      <c r="K86" s="78" t="s">
        <v>202</v>
      </c>
      <c r="L86" s="78" t="s">
        <v>203</v>
      </c>
    </row>
    <row r="87" spans="1:12" s="45" customFormat="1" ht="87.45" x14ac:dyDescent="0.4">
      <c r="A87" s="73"/>
      <c r="B87" s="71" t="s">
        <v>24</v>
      </c>
      <c r="C87" s="86" t="s">
        <v>204</v>
      </c>
      <c r="D87" s="67">
        <f>'[1]INPUTAN DESA 2026'!F402</f>
        <v>5</v>
      </c>
      <c r="E87" s="67" t="str">
        <f>IF(D87=1,"Keaktifan Aktivitas Ekonomi di Desa Tidak Aktif (Tidak Memiliki Produk/ Jasa yang Dihasilkan)",
IF(D87=5,"Keaktifan Aktivitas Ekonomi di Desa Aktif (Memiliki Produk/ Jasa yang Dihasilkan)","Tidak Teridentifikasi"))</f>
        <v>Keaktifan Aktivitas Ekonomi di Desa Aktif (Memiliki Produk/ Jasa yang Dihasilkan)</v>
      </c>
      <c r="F87" s="39" t="str">
        <f>IF(D87=5,"",IF(D87&lt;5,"Pelatihan Kelompok masyarakat dalam Pengembangan usaha ekonomi masyarakat desa","Tidak Teridentifikasi"))</f>
        <v/>
      </c>
      <c r="G87" s="40" t="s">
        <v>205</v>
      </c>
      <c r="H87" s="87" t="s">
        <v>206</v>
      </c>
      <c r="I87" s="88" t="s">
        <v>207</v>
      </c>
      <c r="J87" s="88" t="s">
        <v>208</v>
      </c>
      <c r="K87" s="78" t="s">
        <v>209</v>
      </c>
      <c r="L87" s="78" t="s">
        <v>210</v>
      </c>
    </row>
    <row r="88" spans="1:12" ht="30" customHeight="1" x14ac:dyDescent="0.4">
      <c r="A88" s="68">
        <v>23</v>
      </c>
      <c r="B88" s="69"/>
      <c r="C88" s="30" t="s">
        <v>211</v>
      </c>
      <c r="D88" s="19">
        <f>IFERROR((D89+D90+D91),"Tidak Teridentifikasi")</f>
        <v>11</v>
      </c>
      <c r="E88" s="89"/>
      <c r="F88" s="90"/>
      <c r="G88" s="91"/>
      <c r="H88" s="52"/>
      <c r="I88" s="52"/>
      <c r="J88" s="52"/>
      <c r="K88" s="53"/>
      <c r="L88" s="54"/>
    </row>
    <row r="89" spans="1:12" s="45" customFormat="1" ht="116.6" x14ac:dyDescent="0.4">
      <c r="A89" s="72"/>
      <c r="B89" s="71" t="s">
        <v>16</v>
      </c>
      <c r="C89" s="86" t="s">
        <v>212</v>
      </c>
      <c r="D89" s="67">
        <f>'[1]INPUTAN DESA 2026'!F404</f>
        <v>5</v>
      </c>
      <c r="E89" s="67" t="str">
        <f>IF(D89=1,"Tidak Ada Produk Unggulan Desa",
IF(D89=5,"Ada Produk Unggulan Desa","Tidak Teridentifikasi"))</f>
        <v>Ada Produk Unggulan Desa</v>
      </c>
      <c r="F89" s="39" t="str">
        <f>IF(D89=5,"",IF(D89&lt;5,"Pembentukan/Fasilitasi/Pelatihan/Pendampingan kelompok usaha ekonomi masyarakat","Tidak Teridentifikasi"))</f>
        <v/>
      </c>
      <c r="G89" s="40" t="s">
        <v>213</v>
      </c>
      <c r="H89" s="87" t="s">
        <v>214</v>
      </c>
      <c r="I89" s="88" t="s">
        <v>215</v>
      </c>
      <c r="J89" s="88" t="s">
        <v>215</v>
      </c>
      <c r="K89" s="78" t="s">
        <v>216</v>
      </c>
      <c r="L89" s="78" t="s">
        <v>217</v>
      </c>
    </row>
    <row r="90" spans="1:12" s="45" customFormat="1" ht="116.6" x14ac:dyDescent="0.4">
      <c r="A90" s="72"/>
      <c r="B90" s="71" t="s">
        <v>24</v>
      </c>
      <c r="C90" s="38" t="s">
        <v>218</v>
      </c>
      <c r="D90" s="67">
        <f>'[1]INPUTAN DESA 2026'!F405</f>
        <v>5</v>
      </c>
      <c r="E90" s="67" t="str">
        <f>IF(D90=1,"Cakupan Penjualan Produk Unggulan Desa Masih di Dalam Desa",
IF(D90=5,"Cakupan Penjualan Produk Unggulan Desa Sampai ke Luar Desa","Tidak Teridentifikasi"))</f>
        <v>Cakupan Penjualan Produk Unggulan Desa Sampai ke Luar Desa</v>
      </c>
      <c r="F90" s="39" t="str">
        <f>IF(D90=5,"",IF(D90&lt;5,"Penguatan akses pasar dan pengembangan distribusi hasil penjualan produk unggulan Desa","Tidak Teridentifikasi"))</f>
        <v/>
      </c>
      <c r="G90" s="40" t="s">
        <v>219</v>
      </c>
      <c r="H90" s="87" t="s">
        <v>220</v>
      </c>
      <c r="I90" s="88" t="s">
        <v>221</v>
      </c>
      <c r="J90" s="88" t="s">
        <v>222</v>
      </c>
      <c r="K90" s="78" t="s">
        <v>223</v>
      </c>
      <c r="L90" s="78" t="s">
        <v>224</v>
      </c>
    </row>
    <row r="91" spans="1:12" s="45" customFormat="1" ht="87.45" x14ac:dyDescent="0.4">
      <c r="A91" s="72"/>
      <c r="B91" s="71" t="s">
        <v>27</v>
      </c>
      <c r="C91" s="38" t="s">
        <v>225</v>
      </c>
      <c r="D91" s="67">
        <f>'[1]INPUTAN DESA 2026'!F406</f>
        <v>1</v>
      </c>
      <c r="E91" s="67" t="str">
        <f>IF(D91=1,"Merek Dagang Produk Unggulan Desa Tidak Terdaftar",
IF(D91=5,"Merek Dagang Produk Unggulan Desa Sudah Terdaftar","Tidak Teridentifikasi"))</f>
        <v>Merek Dagang Produk Unggulan Desa Tidak Terdaftar</v>
      </c>
      <c r="F91" s="39" t="str">
        <f>IF(D91=5,"",IF(D91&lt;5,"Pembentukan/Fasilitasi/Pelatihan/Pendampingan kelompok usaha ekonomi masyarakat untuk pendaftaran merek dagang","Tidak Teridentifikasi"))</f>
        <v>Pembentukan/Fasilitasi/Pelatihan/Pendampingan kelompok usaha ekonomi masyarakat untuk pendaftaran merek dagang</v>
      </c>
      <c r="G91" s="40" t="s">
        <v>226</v>
      </c>
      <c r="H91" s="87" t="s">
        <v>227</v>
      </c>
      <c r="I91" s="88" t="s">
        <v>228</v>
      </c>
      <c r="J91" s="88" t="s">
        <v>229</v>
      </c>
      <c r="K91" s="78" t="s">
        <v>216</v>
      </c>
      <c r="L91" s="78" t="s">
        <v>224</v>
      </c>
    </row>
    <row r="92" spans="1:12" ht="30" customHeight="1" x14ac:dyDescent="0.4">
      <c r="A92" s="68">
        <v>24</v>
      </c>
      <c r="B92" s="69"/>
      <c r="C92" s="30" t="s">
        <v>230</v>
      </c>
      <c r="D92" s="19">
        <f>D93</f>
        <v>1</v>
      </c>
      <c r="E92" s="89"/>
      <c r="F92" s="90"/>
      <c r="G92" s="91"/>
      <c r="H92" s="52"/>
      <c r="I92" s="52"/>
      <c r="J92" s="52"/>
      <c r="K92" s="53"/>
      <c r="L92" s="54"/>
    </row>
    <row r="93" spans="1:12" s="45" customFormat="1" ht="102" x14ac:dyDescent="0.4">
      <c r="A93" s="72"/>
      <c r="B93" s="71" t="s">
        <v>16</v>
      </c>
      <c r="C93" s="38" t="s">
        <v>231</v>
      </c>
      <c r="D93" s="67">
        <f>'[1]INPUTAN DESA 2026'!F408</f>
        <v>1</v>
      </c>
      <c r="E93" s="67" t="str">
        <f>IF(D93=1,"Tidak Terdapat Kearifan Lokal atau Kebudayaan Lokal yang dijadikan Sebagai Kegiatan Ekonomi dalam Menunjang Penghidupan Masyarakat di Desa",
IF(D93=5,"Ada Kearifan Lokal atau Kebudayaan Lokal yang dijadikan Sebagai Kegiatan Ekonomi dalam Menunjang Penghidupan Masyarakat di Desa","Tidak Teridentifikasi"))</f>
        <v>Tidak Terdapat Kearifan Lokal atau Kebudayaan Lokal yang dijadikan Sebagai Kegiatan Ekonomi dalam Menunjang Penghidupan Masyarakat di Desa</v>
      </c>
      <c r="F93" s="39" t="str">
        <f>IF(D93=5,"",IF(D93&lt;5,"Pembentukan/Fasilitasi/Pelatihan/Pendampingan kelompok usaha ekonomi kreatif untuk penyelenggaraan kearifan lokal atau kebudayaan lokal","Tidak Teridentifikasi"))</f>
        <v>Pembentukan/Fasilitasi/Pelatihan/Pendampingan kelompok usaha ekonomi kreatif untuk penyelenggaraan kearifan lokal atau kebudayaan lokal</v>
      </c>
      <c r="G93" s="40" t="s">
        <v>101</v>
      </c>
      <c r="H93" s="87" t="s">
        <v>232</v>
      </c>
      <c r="I93" s="88" t="s">
        <v>233</v>
      </c>
      <c r="J93" s="88" t="s">
        <v>234</v>
      </c>
      <c r="K93" s="78" t="s">
        <v>235</v>
      </c>
      <c r="L93" s="78" t="s">
        <v>224</v>
      </c>
    </row>
    <row r="94" spans="1:12" ht="30" customHeight="1" x14ac:dyDescent="0.4">
      <c r="A94" s="68">
        <v>25</v>
      </c>
      <c r="B94" s="69"/>
      <c r="C94" s="48" t="s">
        <v>236</v>
      </c>
      <c r="D94" s="19">
        <f>IFERROR((D95+D96),"Tidak Teridentifikasi")</f>
        <v>10</v>
      </c>
      <c r="E94" s="89"/>
      <c r="F94" s="90"/>
      <c r="G94" s="91"/>
      <c r="H94" s="52"/>
      <c r="I94" s="52"/>
      <c r="J94" s="52"/>
      <c r="K94" s="53"/>
      <c r="L94" s="54"/>
    </row>
    <row r="95" spans="1:12" s="45" customFormat="1" ht="43.75" x14ac:dyDescent="0.4">
      <c r="A95" s="72"/>
      <c r="B95" s="71" t="s">
        <v>16</v>
      </c>
      <c r="C95" s="38" t="s">
        <v>237</v>
      </c>
      <c r="D95" s="67">
        <f>'[1]INPUTAN DESA 2026'!F411</f>
        <v>5</v>
      </c>
      <c r="E95" s="67" t="str">
        <f>IF(D95=1,"Belum dilakukannya Kerjasama Desa dengan Desa Lainnya",
IF(D95=5,"Sudah Ada Kerjasama Desa dengan Desa Lainnya","Tidak Teridentifikasi"))</f>
        <v>Sudah Ada Kerjasama Desa dengan Desa Lainnya</v>
      </c>
      <c r="F95" s="39" t="str">
        <f>IF(D95=5,"",IF(D95&lt;5,"Fasilitasi dan pembentukan kerjasama antar Desa","Tidak Teridentifikasi"))</f>
        <v/>
      </c>
      <c r="G95" s="40" t="s">
        <v>238</v>
      </c>
      <c r="H95" s="87" t="s">
        <v>239</v>
      </c>
      <c r="I95" s="88" t="s">
        <v>240</v>
      </c>
      <c r="J95" s="88" t="s">
        <v>241</v>
      </c>
      <c r="K95" s="78" t="s">
        <v>242</v>
      </c>
      <c r="L95" s="78" t="s">
        <v>224</v>
      </c>
    </row>
    <row r="96" spans="1:12" s="45" customFormat="1" ht="61.2" customHeight="1" x14ac:dyDescent="0.4">
      <c r="A96" s="72"/>
      <c r="B96" s="71" t="s">
        <v>24</v>
      </c>
      <c r="C96" s="38" t="s">
        <v>243</v>
      </c>
      <c r="D96" s="67">
        <f>'[1]INPUTAN DESA 2026'!F412</f>
        <v>5</v>
      </c>
      <c r="E96" s="67" t="str">
        <f>IF(D96=1,"Belum dilakukannya Kerjasama Desa dengan Pihak Ketiga",
IF(D96=5,"Sudah Ada Kerjasama Desa dengan Pihak Ketiga","Tidak Teridentifikasi"))</f>
        <v>Sudah Ada Kerjasama Desa dengan Pihak Ketiga</v>
      </c>
      <c r="F96" s="39" t="str">
        <f>IF(D96=5,"",IF(D96&lt;5,"Fasilitasi dan pembentukan kerjasama dengan pihak ketiga","Tidak Teridentifikasi"))</f>
        <v/>
      </c>
      <c r="G96" s="40" t="s">
        <v>238</v>
      </c>
      <c r="H96" s="87" t="s">
        <v>244</v>
      </c>
      <c r="I96" s="88" t="s">
        <v>245</v>
      </c>
      <c r="J96" s="88" t="s">
        <v>246</v>
      </c>
      <c r="K96" s="78" t="s">
        <v>242</v>
      </c>
      <c r="L96" s="78" t="s">
        <v>224</v>
      </c>
    </row>
    <row r="97" spans="1:12" ht="30" customHeight="1" x14ac:dyDescent="0.4">
      <c r="A97" s="68" t="s">
        <v>247</v>
      </c>
      <c r="B97" s="69"/>
      <c r="C97" s="18" t="s">
        <v>248</v>
      </c>
      <c r="D97" s="19">
        <f>IFERROR((D98+D101+D104+D107+D110+D113+D116+D123),"Tidak Teridentifikasi")</f>
        <v>100</v>
      </c>
      <c r="E97" s="20"/>
      <c r="F97" s="21"/>
      <c r="G97" s="55"/>
    </row>
    <row r="98" spans="1:12" ht="30" customHeight="1" x14ac:dyDescent="0.4">
      <c r="A98" s="68">
        <v>26</v>
      </c>
      <c r="B98" s="69"/>
      <c r="C98" s="30" t="s">
        <v>249</v>
      </c>
      <c r="D98" s="19">
        <f>IFERROR((D99+D100),"Tidak Teridentifikasi")</f>
        <v>10</v>
      </c>
      <c r="E98" s="31"/>
      <c r="F98" s="32"/>
      <c r="G98" s="59"/>
      <c r="H98" s="60"/>
      <c r="I98" s="60"/>
      <c r="J98" s="60"/>
      <c r="K98" s="61"/>
      <c r="L98" s="62"/>
    </row>
    <row r="99" spans="1:12" s="45" customFormat="1" ht="43.75" x14ac:dyDescent="0.4">
      <c r="A99" s="72"/>
      <c r="B99" s="71" t="s">
        <v>16</v>
      </c>
      <c r="C99" s="86" t="s">
        <v>250</v>
      </c>
      <c r="D99" s="100">
        <f>'[1]INPUTAN DESA 2026'!F414</f>
        <v>5</v>
      </c>
      <c r="E99" s="67" t="str">
        <f>IF(D99=1,"Tidak Tersedia Pendidikan Non-Formal/ Pusat Keterampilan/ Kursus di Desa",
IF(D99=5,"Ada Tersedia Pendidikan Non-Formal/ Pusat Keterampilan/ Kursus di Desa","Tidak Teridentifikasi"))</f>
        <v>Ada Tersedia Pendidikan Non-Formal/ Pusat Keterampilan/ Kursus di Desa</v>
      </c>
      <c r="F99" s="39" t="str">
        <f>IF(D99=5,"",IF(D99&lt;5,"Pembentukan/Fasilitasi/Pelatihan/Pendampingan dalam peningkatan kualitas sumber daya manusia warga masyarakat desa melalui Pendidikan Non-formal/Pusat Keterampilan/Kursus di Desa","Tidak Teridentifikasi"))</f>
        <v/>
      </c>
      <c r="G99" s="40" t="s">
        <v>251</v>
      </c>
      <c r="H99" s="87" t="s">
        <v>252</v>
      </c>
      <c r="I99" s="88" t="s">
        <v>253</v>
      </c>
      <c r="J99" s="88" t="s">
        <v>254</v>
      </c>
      <c r="K99" s="78" t="s">
        <v>242</v>
      </c>
      <c r="L99" s="78" t="s">
        <v>224</v>
      </c>
    </row>
    <row r="100" spans="1:12" s="45" customFormat="1" ht="43.75" x14ac:dyDescent="0.4">
      <c r="A100" s="72"/>
      <c r="B100" s="71" t="s">
        <v>24</v>
      </c>
      <c r="C100" s="86" t="s">
        <v>255</v>
      </c>
      <c r="D100" s="67">
        <f>'[1]INPUTAN DESA 2026'!F415</f>
        <v>5</v>
      </c>
      <c r="E100" s="67" t="str">
        <f>IF(D100=1,"Pendidikan Non-Formal/ Pusat Keterampilan/ Kursus Tidak Aktif",
IF(D100=3,"Pendidikan Non-Formal/ Pusat Keterampilan/ Kursus Melibatkan Sebagian Kecil/ &lt;50% Angkatan Kerja yang Tidak Bekerja di Desa",
IF(D100=5,"Pendidikan Non-Formal/ Pusat Keterampilan/ Kursus Melibatkan Sebagian Besar/ &gt;=50% Angkatan Kerja yang Tidak Bekerja di Desa","Tidak Teridentifikasi")))</f>
        <v>Pendidikan Non-Formal/ Pusat Keterampilan/ Kursus Melibatkan Sebagian Besar/ &gt;=50% Angkatan Kerja yang Tidak Bekerja di Desa</v>
      </c>
      <c r="F100" s="39" t="str">
        <f>IF(D100=5,"",IF(D100&lt;5,"Pengembangan kapasitas ekonomi produktif dan kewirausahaan masyarakat Desa melalui Pendidikan Non-formal/Pusat Keterampilan/Kursus di Desa","Tidak Teridentifikasi"))</f>
        <v/>
      </c>
      <c r="G100" s="40" t="s">
        <v>251</v>
      </c>
      <c r="H100" s="87" t="s">
        <v>256</v>
      </c>
      <c r="I100" s="88" t="s">
        <v>257</v>
      </c>
      <c r="J100" s="88" t="s">
        <v>258</v>
      </c>
      <c r="K100" s="78" t="s">
        <v>259</v>
      </c>
      <c r="L100" s="78" t="s">
        <v>224</v>
      </c>
    </row>
    <row r="101" spans="1:12" ht="30" customHeight="1" x14ac:dyDescent="0.4">
      <c r="A101" s="68">
        <v>27</v>
      </c>
      <c r="B101" s="69"/>
      <c r="C101" s="30" t="s">
        <v>260</v>
      </c>
      <c r="D101" s="19">
        <f>IFERROR((D102+D103),"Tidak Teridentifikasi")</f>
        <v>10</v>
      </c>
      <c r="E101" s="89"/>
      <c r="F101" s="90"/>
      <c r="G101" s="91"/>
      <c r="H101" s="52"/>
      <c r="I101" s="52"/>
      <c r="J101" s="52"/>
      <c r="K101" s="53"/>
      <c r="L101" s="54"/>
    </row>
    <row r="102" spans="1:12" s="45" customFormat="1" ht="72.900000000000006" x14ac:dyDescent="0.4">
      <c r="A102" s="72"/>
      <c r="B102" s="71" t="s">
        <v>16</v>
      </c>
      <c r="C102" s="38" t="s">
        <v>261</v>
      </c>
      <c r="D102" s="67">
        <f>'[1]INPUTAN DESA 2026'!F419</f>
        <v>5</v>
      </c>
      <c r="E102" s="67" t="str">
        <f>IF(D102=1,"Tidak Tersedia Pasar di Desa",
IF(D102=5,"Tersedia Pasar di Desa","Tidak Teridentifikasi"))</f>
        <v>Tersedia Pasar di Desa</v>
      </c>
      <c r="F102" s="39" t="str">
        <f>IF(D102=5,"",IF(D102&lt;5,"Pembangunan/Rehabilitasi/Peningkatan pasar Desa","Tidak Teridentifikasi"))</f>
        <v/>
      </c>
      <c r="G102" s="40" t="s">
        <v>262</v>
      </c>
      <c r="H102" s="87" t="s">
        <v>263</v>
      </c>
      <c r="I102" s="88" t="s">
        <v>264</v>
      </c>
      <c r="J102" s="88" t="s">
        <v>265</v>
      </c>
      <c r="K102" s="78" t="s">
        <v>266</v>
      </c>
      <c r="L102" s="78" t="s">
        <v>224</v>
      </c>
    </row>
    <row r="103" spans="1:12" s="45" customFormat="1" ht="72.900000000000006" x14ac:dyDescent="0.4">
      <c r="A103" s="72"/>
      <c r="B103" s="71" t="s">
        <v>24</v>
      </c>
      <c r="C103" s="38" t="s">
        <v>267</v>
      </c>
      <c r="D103" s="39">
        <f>'[1]INPUTAN DESA 2026'!F424</f>
        <v>5</v>
      </c>
      <c r="E103" s="39" t="str">
        <f>IF(D103=1,"Akses Menuju Pasar di Desa Sangat Sulit",
IF(D103=2,"Akses Menuju Pasar di Desa Sulit",
IF(D103=3,"Akses Menuju Pasar di Desa Sedang",
IF(D103=4,"Akses Menuju Pasar di Desa Mudah",
IF(D103=5,"Akses Menuju Pasar di Desa Sangat Mudah","Tidak Teridentifikasi")))))</f>
        <v>Akses Menuju Pasar di Desa Sangat Mudah</v>
      </c>
      <c r="F103" s="39" t="str">
        <f>IF(D103=5,"",IF(D103&lt;5,"Pembangunan/Rehabilitasi/Peningkatan infrastruktur menuju pasar di Desa","Tidak Teridentifikasi"))</f>
        <v/>
      </c>
      <c r="G103" s="40" t="s">
        <v>268</v>
      </c>
      <c r="H103" s="87" t="s">
        <v>269</v>
      </c>
      <c r="I103" s="88" t="s">
        <v>270</v>
      </c>
      <c r="J103" s="88" t="s">
        <v>271</v>
      </c>
      <c r="K103" s="78" t="s">
        <v>242</v>
      </c>
      <c r="L103" s="78" t="s">
        <v>224</v>
      </c>
    </row>
    <row r="104" spans="1:12" ht="30" customHeight="1" x14ac:dyDescent="0.4">
      <c r="A104" s="68">
        <v>28</v>
      </c>
      <c r="B104" s="69"/>
      <c r="C104" s="48" t="s">
        <v>272</v>
      </c>
      <c r="D104" s="19">
        <f>IFERROR((D105+D106),"Tidak Teridentifikasi")</f>
        <v>10</v>
      </c>
      <c r="E104" s="89"/>
      <c r="F104" s="90"/>
      <c r="G104" s="91"/>
      <c r="H104" s="52"/>
      <c r="I104" s="52"/>
      <c r="J104" s="52"/>
      <c r="K104" s="53"/>
      <c r="L104" s="54"/>
    </row>
    <row r="105" spans="1:12" s="45" customFormat="1" ht="58.3" x14ac:dyDescent="0.4">
      <c r="A105" s="72"/>
      <c r="B105" s="71" t="s">
        <v>16</v>
      </c>
      <c r="C105" s="38" t="s">
        <v>273</v>
      </c>
      <c r="D105" s="67">
        <f>'[1]INPUTAN DESA 2026'!F426</f>
        <v>5</v>
      </c>
      <c r="E105" s="67" t="str">
        <f>IF(D105=1,"Tidak Tersedia Toko/ Pertokoan di Desa",
IF(D105=5,"Tersedia Toko/ Pertokoan di Desa","Tidak Teridentifikasi"))</f>
        <v>Tersedia Toko/ Pertokoan di Desa</v>
      </c>
      <c r="F105" s="39" t="str">
        <f>IF(D105=5,"",IF(D105&lt;5,"Pembangunan, pengembangan, pengelolaan, pemberdayaan, dan fasilitasi izin usaha toko atau pertokoan di Desa","Tidak Teridentifikasi"))</f>
        <v/>
      </c>
      <c r="G105" s="40" t="s">
        <v>262</v>
      </c>
      <c r="H105" s="87" t="s">
        <v>274</v>
      </c>
      <c r="I105" s="88" t="s">
        <v>275</v>
      </c>
      <c r="J105" s="88" t="s">
        <v>276</v>
      </c>
      <c r="K105" s="78" t="s">
        <v>242</v>
      </c>
      <c r="L105" s="78" t="s">
        <v>224</v>
      </c>
    </row>
    <row r="106" spans="1:12" s="45" customFormat="1" ht="72.900000000000006" x14ac:dyDescent="0.4">
      <c r="A106" s="72"/>
      <c r="B106" s="71" t="s">
        <v>24</v>
      </c>
      <c r="C106" s="38" t="s">
        <v>277</v>
      </c>
      <c r="D106" s="39">
        <f>'[1]INPUTAN DESA 2026'!F430</f>
        <v>5</v>
      </c>
      <c r="E106" s="39" t="str">
        <f>IF(D106=1,"Akses Menuju Toko/ Pertokoan di Desa Sangat Sulit",
IF(D106=2,"Akses Menuju Toko/ Pertokoan di Desa Sulit",
IF(D106=3,"Akses Menuju Toko/ Pertokoan di Desa Sedang",
IF(D106=4,"Akses Menuju Toko/ Pertokoan di Desa Mudah",
IF(D106=5,"Akses Menuju Toko/ Pertokoan di Desa Sangat Mudah","Tidak Teridentifikasi")))))</f>
        <v>Akses Menuju Toko/ Pertokoan di Desa Sangat Mudah</v>
      </c>
      <c r="F106" s="39" t="str">
        <f>IF(D106=5,"",IF(D106&lt;5,"Pembangunan/Rehabilitasi/Peningkatan infrastruktur menuju toko atau pertokoan di Desa","Tidak Teridentifikasi"))</f>
        <v/>
      </c>
      <c r="G106" s="40" t="s">
        <v>268</v>
      </c>
      <c r="H106" s="87" t="s">
        <v>278</v>
      </c>
      <c r="I106" s="88" t="s">
        <v>279</v>
      </c>
      <c r="J106" s="88" t="s">
        <v>280</v>
      </c>
      <c r="K106" s="78" t="s">
        <v>242</v>
      </c>
      <c r="L106" s="78" t="s">
        <v>224</v>
      </c>
    </row>
    <row r="107" spans="1:12" ht="30" customHeight="1" x14ac:dyDescent="0.4">
      <c r="A107" s="68">
        <v>29</v>
      </c>
      <c r="B107" s="69"/>
      <c r="C107" s="30" t="s">
        <v>281</v>
      </c>
      <c r="D107" s="19">
        <f>IFERROR((D108+D109),"Tidak Teridentifikasi")</f>
        <v>10</v>
      </c>
      <c r="E107" s="89"/>
      <c r="F107" s="90"/>
      <c r="G107" s="91"/>
      <c r="H107" s="52"/>
      <c r="I107" s="52"/>
      <c r="J107" s="52"/>
      <c r="K107" s="53"/>
      <c r="L107" s="54"/>
    </row>
    <row r="108" spans="1:12" s="45" customFormat="1" ht="58.3" x14ac:dyDescent="0.4">
      <c r="A108" s="72"/>
      <c r="B108" s="71" t="s">
        <v>16</v>
      </c>
      <c r="C108" s="38" t="s">
        <v>282</v>
      </c>
      <c r="D108" s="67">
        <f>'[1]INPUTAN DESA 2026'!F432</f>
        <v>5</v>
      </c>
      <c r="E108" s="67" t="str">
        <f>IF(D108=1,"Tidak Tersedia Kedai/ Rumah Makan di Desa",
IF(D108=5,"Tersedia Kedai/ Rumah Makan di Desa","Tidak Teridentifikasi"))</f>
        <v>Tersedia Kedai/ Rumah Makan di Desa</v>
      </c>
      <c r="F108" s="39" t="str">
        <f>IF(D108=5,"",IF(D108&lt;5,"Pembangunan, pengembangan, pengelolaan, pemberdayaan, dan fasilitasi izin usaha kedai atau rumah makan di Desa","Tidak Teridentifikasi"))</f>
        <v/>
      </c>
      <c r="G108" s="40" t="s">
        <v>262</v>
      </c>
      <c r="H108" s="87" t="s">
        <v>283</v>
      </c>
      <c r="I108" s="88" t="s">
        <v>284</v>
      </c>
      <c r="J108" s="88" t="s">
        <v>284</v>
      </c>
      <c r="K108" s="78" t="s">
        <v>242</v>
      </c>
      <c r="L108" s="78" t="s">
        <v>224</v>
      </c>
    </row>
    <row r="109" spans="1:12" s="45" customFormat="1" ht="43.75" x14ac:dyDescent="0.4">
      <c r="A109" s="72"/>
      <c r="B109" s="71" t="s">
        <v>24</v>
      </c>
      <c r="C109" s="38" t="s">
        <v>285</v>
      </c>
      <c r="D109" s="39">
        <f>'[1]INPUTAN DESA 2026'!F436</f>
        <v>5</v>
      </c>
      <c r="E109" s="39" t="str">
        <f>IF(D109=1,"Akses Menuju Kedai/ Rumah Makan di Desa Sangat Sulit",
IF(D109=2,"Akses Menuju Kedai/ Rumah Makan di Desa Sulit",
IF(D109=3,"Akses Menuju Kedai/ Rumah Makan di Desa Sedang",
IF(D109=4,"Akses Menuju Kedai/ Rumah Makan di Desa Mudah",
IF(D109=5,"Akses Menuju Kedai/ Rumah Makan di Desa Sangat Mudah","Tidak Teridentifikasi")))))</f>
        <v>Akses Menuju Kedai/ Rumah Makan di Desa Sangat Mudah</v>
      </c>
      <c r="F109" s="39" t="str">
        <f>IF(D109=5,"",IF(D109&lt;5,"Pembangunan/Rehabilitasi/Peningkatan infrastruktur menuju kedai atau rumah makan di Desa","Tidak Teridentifikasi"))</f>
        <v/>
      </c>
      <c r="G109" s="40" t="s">
        <v>32</v>
      </c>
      <c r="H109" s="87" t="s">
        <v>286</v>
      </c>
      <c r="I109" s="88" t="s">
        <v>287</v>
      </c>
      <c r="J109" s="88" t="s">
        <v>288</v>
      </c>
      <c r="K109" s="78" t="s">
        <v>242</v>
      </c>
      <c r="L109" s="78" t="s">
        <v>224</v>
      </c>
    </row>
    <row r="110" spans="1:12" ht="30" customHeight="1" x14ac:dyDescent="0.4">
      <c r="A110" s="68">
        <v>30</v>
      </c>
      <c r="B110" s="69"/>
      <c r="C110" s="30" t="s">
        <v>289</v>
      </c>
      <c r="D110" s="19">
        <f>IFERROR((D111+D112),"Tidak Teridentifikasi")</f>
        <v>10</v>
      </c>
      <c r="E110" s="89"/>
      <c r="F110" s="90"/>
      <c r="G110" s="91"/>
      <c r="H110" s="52"/>
      <c r="I110" s="52"/>
      <c r="J110" s="52"/>
      <c r="K110" s="53"/>
      <c r="L110" s="54"/>
    </row>
    <row r="111" spans="1:12" s="45" customFormat="1" ht="58.3" x14ac:dyDescent="0.4">
      <c r="A111" s="72"/>
      <c r="B111" s="71" t="s">
        <v>16</v>
      </c>
      <c r="C111" s="38" t="s">
        <v>290</v>
      </c>
      <c r="D111" s="67">
        <f>'[1]INPUTAN DESA 2026'!F438</f>
        <v>5</v>
      </c>
      <c r="E111" s="67" t="str">
        <f>IF(D111=1,"Tidak Tersedia Penginapan di Desa",
IF(D111=5,"Tersedia Penginapan di Desa","Tidak Teridentifikasi"))</f>
        <v>Tersedia Penginapan di Desa</v>
      </c>
      <c r="F111" s="39" t="str">
        <f>IF(D111=5,"",IF(D111&lt;5,"pembangunan, pemanfaatan, pemeliharaan dan pengadaan sarana prasarana serta fasilitasi izin usaha penginapan di Desa","Tidak Teridentifikasi"))</f>
        <v/>
      </c>
      <c r="G111" s="40" t="s">
        <v>262</v>
      </c>
      <c r="H111" s="87" t="s">
        <v>291</v>
      </c>
      <c r="I111" s="88" t="s">
        <v>292</v>
      </c>
      <c r="J111" s="88" t="s">
        <v>293</v>
      </c>
      <c r="K111" s="78" t="s">
        <v>242</v>
      </c>
      <c r="L111" s="78" t="s">
        <v>224</v>
      </c>
    </row>
    <row r="112" spans="1:12" s="45" customFormat="1" ht="43.75" x14ac:dyDescent="0.4">
      <c r="A112" s="72"/>
      <c r="B112" s="71" t="s">
        <v>24</v>
      </c>
      <c r="C112" s="38" t="s">
        <v>294</v>
      </c>
      <c r="D112" s="39">
        <f>'[1]INPUTAN DESA 2026'!F442</f>
        <v>5</v>
      </c>
      <c r="E112" s="39" t="str">
        <f>IF(D112=1,"Akses Menuju Penginapan di Desa Sangat Sulit",
IF(D112=2,"Akses Menuju Penginapan di Desa Sulit",
IF(D112=3,"Akses Menuju Penginapan di Desa Sedang",
IF(D112=4,"Akses Menuju Penginapan di Desa Mudah",
IF(D112=5,"Akses Menuju Penginapan di Desa Sangat Mudah","Tidak Teridentifikasi")))))</f>
        <v>Akses Menuju Penginapan di Desa Sangat Mudah</v>
      </c>
      <c r="F112" s="39" t="str">
        <f>IF(D112=5,"",IF(D112&lt;5,"Pembangunan, Pemeliharaan Infrastruktur &amp; Ketersediaan Transportasi menuju Penginapan di Desa","Tidak Teridentifikasi"))</f>
        <v/>
      </c>
      <c r="G112" s="40" t="s">
        <v>32</v>
      </c>
      <c r="H112" s="87" t="s">
        <v>295</v>
      </c>
      <c r="I112" s="88" t="s">
        <v>296</v>
      </c>
      <c r="J112" s="88" t="s">
        <v>288</v>
      </c>
      <c r="K112" s="78" t="s">
        <v>242</v>
      </c>
      <c r="L112" s="78" t="s">
        <v>224</v>
      </c>
    </row>
    <row r="113" spans="1:12" ht="30" customHeight="1" x14ac:dyDescent="0.4">
      <c r="A113" s="68">
        <v>31</v>
      </c>
      <c r="B113" s="69"/>
      <c r="C113" s="30" t="s">
        <v>297</v>
      </c>
      <c r="D113" s="19">
        <f>IFERROR((D114+D115),"Tidak Teridentifikasi")</f>
        <v>10</v>
      </c>
      <c r="E113" s="89"/>
      <c r="F113" s="90"/>
      <c r="G113" s="91"/>
      <c r="H113" s="52"/>
      <c r="I113" s="52"/>
      <c r="J113" s="52"/>
      <c r="K113" s="53"/>
      <c r="L113" s="54"/>
    </row>
    <row r="114" spans="1:12" s="45" customFormat="1" ht="43.75" x14ac:dyDescent="0.4">
      <c r="A114" s="72"/>
      <c r="B114" s="71" t="s">
        <v>16</v>
      </c>
      <c r="C114" s="38" t="s">
        <v>298</v>
      </c>
      <c r="D114" s="67">
        <f>'[1]INPUTAN DESA 2026'!F444</f>
        <v>5</v>
      </c>
      <c r="E114" s="67" t="str">
        <f>IF(D114=1,"Tidak Tersedia Layanan Pos dan Logistik di Desa",
IF(D114=5,"Tersedia Layanan Pos dan Logistik di Desa","Tidak Teridentifikasi"))</f>
        <v>Tersedia Layanan Pos dan Logistik di Desa</v>
      </c>
      <c r="F114" s="39" t="str">
        <f>IF(D114=5,"",IF(D114&lt;5,"Fasilitasi izin usaha layanan pos dan logistik di desa","Tidak Teridentifikasi"))</f>
        <v/>
      </c>
      <c r="G114" s="40" t="s">
        <v>299</v>
      </c>
      <c r="H114" s="87" t="s">
        <v>300</v>
      </c>
      <c r="I114" s="88" t="s">
        <v>301</v>
      </c>
      <c r="J114" s="88" t="s">
        <v>302</v>
      </c>
      <c r="K114" s="78" t="s">
        <v>242</v>
      </c>
      <c r="L114" s="78" t="s">
        <v>224</v>
      </c>
    </row>
    <row r="115" spans="1:12" s="45" customFormat="1" ht="43.75" x14ac:dyDescent="0.4">
      <c r="A115" s="72"/>
      <c r="B115" s="71" t="s">
        <v>24</v>
      </c>
      <c r="C115" s="38" t="s">
        <v>303</v>
      </c>
      <c r="D115" s="39">
        <f>'[1]INPUTAN DESA 2026'!F448</f>
        <v>5</v>
      </c>
      <c r="E115" s="39" t="str">
        <f>IF(D115=1,"Akses Menuju Layanan Pos dan Logistik di Desa Sangat Sulit",
IF(D115=2,"Akses Menuju Layanan Pos dan Logistik di Desa Sulit",
IF(D115=3,"Akses Menuju Layanan Pos dan Logistik di Desa Sedang",
IF(D115=4,"Akses Menuju Layanan Pos dan Logistik di Desa Mudah",
IF(D115=5,"Akses Menuju Layanan Pos dan Logistik di Desa Sangat Mudah","Tidak Teridentifikasi")))))</f>
        <v>Akses Menuju Layanan Pos dan Logistik di Desa Sangat Mudah</v>
      </c>
      <c r="F115" s="39" t="str">
        <f>IF(D115=5,"",IF(D115&lt;5,"Pembangunan, Pemeliharaan Infrastruktur &amp; Ketersediaan Transportasi Menuju Pos dan Logistik di Desa","Tidak Teridentifikasi"))</f>
        <v/>
      </c>
      <c r="G115" s="40" t="s">
        <v>32</v>
      </c>
      <c r="H115" s="87" t="s">
        <v>300</v>
      </c>
      <c r="I115" s="88" t="s">
        <v>304</v>
      </c>
      <c r="J115" s="88" t="s">
        <v>305</v>
      </c>
      <c r="K115" s="78" t="s">
        <v>242</v>
      </c>
      <c r="L115" s="78" t="s">
        <v>224</v>
      </c>
    </row>
    <row r="116" spans="1:12" ht="30" customHeight="1" x14ac:dyDescent="0.4">
      <c r="A116" s="68">
        <v>32</v>
      </c>
      <c r="B116" s="69"/>
      <c r="C116" s="30" t="s">
        <v>306</v>
      </c>
      <c r="D116" s="19">
        <f>IFERROR((D117+D118+D119+D120+D121+D122),"Tidak Teridentifikasi")</f>
        <v>30</v>
      </c>
      <c r="E116" s="89"/>
      <c r="F116" s="90"/>
      <c r="G116" s="91"/>
      <c r="H116" s="52"/>
      <c r="I116" s="52"/>
      <c r="J116" s="52"/>
      <c r="K116" s="53"/>
      <c r="L116" s="54"/>
    </row>
    <row r="117" spans="1:12" s="45" customFormat="1" ht="72.900000000000006" x14ac:dyDescent="0.4">
      <c r="A117" s="72"/>
      <c r="B117" s="71" t="s">
        <v>16</v>
      </c>
      <c r="C117" s="86" t="s">
        <v>307</v>
      </c>
      <c r="D117" s="67">
        <f>IF(AND('[1]INPUTAN DESA 2026'!F450=2,'[1]INPUTAN DESA 2026'!F454=2),1,IF(AND('[1]INPUTAN DESA 2026'!F450=6,OR('[1]INPUTAN DESA 2026'!F454=6,'[1]INPUTAN DESA 2026'!F454=2)),5,IF(AND('[1]INPUTAN DESA 2026'!F454=6,OR('[1]INPUTAN DESA 2026'!F450=2,'[1]INPUTAN DESA 2026'!F450=6)),5,5)))</f>
        <v>5</v>
      </c>
      <c r="E117" s="67" t="str">
        <f>IF(D117=1,"Tidak Terdapat BUMDesa/ Bumdesa Bersama di Desa",
IF(D117=5,"Terdapat BUMDesa/ Bumdesa Bersama di Desa","Tidak Teridentifikasi"))</f>
        <v>Terdapat BUMDesa/ Bumdesa Bersama di Desa</v>
      </c>
      <c r="F117" s="39" t="str">
        <f>IF(D117=5,"",IF(D117&lt;5,"Identifikasi potensi desa dalam Pendirian, Pengembangan dan Peningkatan Kapasitas Pengelolaan Badan Usaha Milik Desa dan/atau Badan Usaha Milik Desa Bersama","Tidak Teridentifikasi"))</f>
        <v/>
      </c>
      <c r="G117" s="40" t="s">
        <v>308</v>
      </c>
      <c r="H117" s="87" t="s">
        <v>309</v>
      </c>
      <c r="I117" s="88" t="s">
        <v>310</v>
      </c>
      <c r="J117" s="88" t="s">
        <v>311</v>
      </c>
      <c r="K117" s="78" t="s">
        <v>312</v>
      </c>
      <c r="L117" s="78" t="s">
        <v>224</v>
      </c>
    </row>
    <row r="118" spans="1:12" s="45" customFormat="1" ht="43.75" x14ac:dyDescent="0.4">
      <c r="A118" s="72"/>
      <c r="B118" s="71" t="s">
        <v>24</v>
      </c>
      <c r="C118" s="86" t="s">
        <v>313</v>
      </c>
      <c r="D118" s="67">
        <f>IF(OR('[1]INPUTAN DESA 2026'!F450=10,'[1]INPUTAN DESA 2026'!F454=10),5,1)</f>
        <v>5</v>
      </c>
      <c r="E118" s="67" t="str">
        <f>IF(D118=1,"BUMDesa/ Bumdesa Bersama di Desa Belum Berbadan Hukum",
IF(D118=5,"BUMDesa/ Bumdesa Bersama di Desa Sudah Berbadan Hukum","Tidak Teridentifikasi"))</f>
        <v>BUMDesa/ Bumdesa Bersama di Desa Sudah Berbadan Hukum</v>
      </c>
      <c r="F118" s="39" t="str">
        <f>IF(D118=5,"",IF(D118&lt;5,"Pelatihan Pengelolaan BUMDes / BUMDesma dan Proses Pembentukan Badan Hukum","Tidak Teridentifikasi"))</f>
        <v/>
      </c>
      <c r="G118" s="40" t="s">
        <v>308</v>
      </c>
      <c r="H118" s="87" t="s">
        <v>314</v>
      </c>
      <c r="I118" s="88" t="s">
        <v>310</v>
      </c>
      <c r="J118" s="88" t="s">
        <v>311</v>
      </c>
      <c r="K118" s="78" t="s">
        <v>312</v>
      </c>
      <c r="L118" s="78" t="s">
        <v>224</v>
      </c>
    </row>
    <row r="119" spans="1:12" s="45" customFormat="1" ht="43.75" x14ac:dyDescent="0.4">
      <c r="A119" s="72"/>
      <c r="B119" s="71" t="s">
        <v>27</v>
      </c>
      <c r="C119" s="38" t="s">
        <v>315</v>
      </c>
      <c r="D119" s="67">
        <f>IF('[1]INPUTAN DESA 2026'!F453&gt;'[1]INPUTAN DESA 2026'!F457,'[1]INPUTAN DESA 2026'!F453,'[1]INPUTAN DESA 2026'!F457)</f>
        <v>5</v>
      </c>
      <c r="E119" s="39" t="str">
        <f>IF(D119=1,"Tidak Terdapat Lembaga Ekonomi",
IF(D119=2,"Waktu Pelayanan BUMDes/ BUMDESMA Tidak Pasti",
IF(D119=3,"Waktu Pelayanan BUMDes/ BUMDESMA Beroperasi 1-3 Hari Seminggu",
IF(D119=4,"Waktu Pelayanan BUMDes/ BUMDESMA Beroperasi 4-5 Hari Seminggu",
IF(D119=5,"Waktu Pelayanan BUMDes/ BUMDESMA Beroperasi &gt;5 Hari Seminggu","Tidak Teridentifikasi")))))</f>
        <v>Waktu Pelayanan BUMDes/ BUMDESMA Beroperasi &gt;5 Hari Seminggu</v>
      </c>
      <c r="F119" s="39" t="str">
        <f>IF(D119=5,"",IF(D119&lt;5,"Peningkatan kapasitas dalam Pengelolaan aktifitas dan jenis usaha BUMDes / BUMDesma ","Tidak Teridentifikasi"))</f>
        <v/>
      </c>
      <c r="G119" s="40" t="s">
        <v>308</v>
      </c>
      <c r="H119" s="87" t="s">
        <v>316</v>
      </c>
      <c r="I119" s="88" t="s">
        <v>310</v>
      </c>
      <c r="J119" s="88" t="s">
        <v>311</v>
      </c>
      <c r="K119" s="78" t="s">
        <v>312</v>
      </c>
      <c r="L119" s="78" t="s">
        <v>224</v>
      </c>
    </row>
    <row r="120" spans="1:12" s="45" customFormat="1" ht="72.900000000000006" x14ac:dyDescent="0.4">
      <c r="A120" s="72"/>
      <c r="B120" s="71" t="s">
        <v>65</v>
      </c>
      <c r="C120" s="38" t="s">
        <v>317</v>
      </c>
      <c r="D120" s="67">
        <f>'[1]INPUTAN DESA 2026'!F458</f>
        <v>5</v>
      </c>
      <c r="E120" s="67" t="str">
        <f>IF(D120=1,"Tidak Tersedia Lembaga Ekonomi Lainnya (Selain BUMDes/ BUMDESMA) di Desa",
IF(D120=5,"Tersedia Lembaga Ekonomi Lainnya (Selain BUMDes/ BUMDESMA) di Desa","Tidak Teridentifikasi"))</f>
        <v>Tersedia Lembaga Ekonomi Lainnya (Selain BUMDes/ BUMDESMA) di Desa</v>
      </c>
      <c r="F120" s="39" t="str">
        <f>IF(D120=5,"",IF(D120&lt;5,"Fasilitasi izin usaha Lembaga Ekonomi lainnya di desa","Tidak Teridentifikasi"))</f>
        <v/>
      </c>
      <c r="G120" s="40" t="s">
        <v>318</v>
      </c>
      <c r="H120" s="87" t="s">
        <v>319</v>
      </c>
      <c r="I120" s="88" t="s">
        <v>310</v>
      </c>
      <c r="J120" s="88" t="s">
        <v>311</v>
      </c>
      <c r="K120" s="78" t="s">
        <v>57</v>
      </c>
      <c r="L120" s="78" t="s">
        <v>224</v>
      </c>
    </row>
    <row r="121" spans="1:12" s="45" customFormat="1" ht="43.75" x14ac:dyDescent="0.4">
      <c r="A121" s="72"/>
      <c r="B121" s="71" t="s">
        <v>149</v>
      </c>
      <c r="C121" s="38" t="s">
        <v>320</v>
      </c>
      <c r="D121" s="67">
        <f>'[1]INPUTAN DESA 2026'!F459</f>
        <v>5</v>
      </c>
      <c r="E121" s="67" t="str">
        <f>IF(D121=1,"Tidak Tersedia KUD di Desa",
IF(D121=5,"Tersedia KUD di Desa","Tidak Teridentifikasi"))</f>
        <v>Tersedia KUD di Desa</v>
      </c>
      <c r="F121" s="39" t="str">
        <f>IF(D121=5,"",IF(D121&lt;5,"Fasilitasi izin usaha Lembaga Ekonomi KUD","Tidak Teridentifikasi"))</f>
        <v/>
      </c>
      <c r="G121" s="40" t="s">
        <v>321</v>
      </c>
      <c r="H121" s="87" t="s">
        <v>319</v>
      </c>
      <c r="I121" s="88" t="s">
        <v>310</v>
      </c>
      <c r="J121" s="88" t="s">
        <v>311</v>
      </c>
      <c r="K121" s="78" t="s">
        <v>322</v>
      </c>
      <c r="L121" s="78" t="s">
        <v>224</v>
      </c>
    </row>
    <row r="122" spans="1:12" s="45" customFormat="1" ht="43.75" x14ac:dyDescent="0.4">
      <c r="A122" s="72"/>
      <c r="B122" s="71" t="s">
        <v>323</v>
      </c>
      <c r="C122" s="38" t="s">
        <v>324</v>
      </c>
      <c r="D122" s="67">
        <f>'[1]INPUTAN DESA 2026'!F460</f>
        <v>5</v>
      </c>
      <c r="E122" s="67" t="str">
        <f>IF(D122=1,"Tidak Tersedia UMKM di Desa",
IF(D122=5,"Tersedia UMKM di Desa","Tidak Teridentifikasi"))</f>
        <v>Tersedia UMKM di Desa</v>
      </c>
      <c r="F122" s="39" t="str">
        <f>IF(D122=5,"",IF(D122&lt;5,"Fasilitasi izin usaha Lembaga Ekonomi UMKM","Tidak Teridentifikasi"))</f>
        <v/>
      </c>
      <c r="G122" s="40" t="s">
        <v>325</v>
      </c>
      <c r="H122" s="87" t="s">
        <v>326</v>
      </c>
      <c r="I122" s="88" t="s">
        <v>327</v>
      </c>
      <c r="J122" s="88" t="s">
        <v>327</v>
      </c>
      <c r="K122" s="78" t="s">
        <v>322</v>
      </c>
      <c r="L122" s="78" t="s">
        <v>224</v>
      </c>
    </row>
    <row r="123" spans="1:12" ht="30" customHeight="1" x14ac:dyDescent="0.4">
      <c r="A123" s="68">
        <v>33</v>
      </c>
      <c r="B123" s="69"/>
      <c r="C123" s="30" t="s">
        <v>328</v>
      </c>
      <c r="D123" s="19">
        <f>IFERROR((D124+D125+D126+D127+D128+D129),"Tidak Teridentifikasi")</f>
        <v>10</v>
      </c>
      <c r="E123" s="89"/>
      <c r="F123" s="90"/>
      <c r="G123" s="91"/>
      <c r="H123" s="52"/>
      <c r="I123" s="52"/>
      <c r="J123" s="52"/>
      <c r="K123" s="53"/>
      <c r="L123" s="54"/>
    </row>
    <row r="124" spans="1:12" s="45" customFormat="1" ht="29.15" x14ac:dyDescent="0.4">
      <c r="A124" s="72"/>
      <c r="B124" s="71" t="s">
        <v>16</v>
      </c>
      <c r="C124" s="38" t="s">
        <v>329</v>
      </c>
      <c r="D124" s="67">
        <f>'[1]INPUTAN DESA 2026'!F462</f>
        <v>1</v>
      </c>
      <c r="E124" s="67" t="str">
        <f>IF(D124=1,"Tidak Tersedia Layanan Perbankan di Desa",
IF(D124=5,"Tersedia UMKM di Desa","Tidak Teridentifikasi"))</f>
        <v>Tidak Tersedia Layanan Perbankan di Desa</v>
      </c>
      <c r="F124" s="39" t="str">
        <f>IF(D124=5,"",IF(D124&lt;5,"Penyediaan Layanan Perbankan dan Fasilitasi izin usaha","Tidak Teridentifikasi"))</f>
        <v>Penyediaan Layanan Perbankan dan Fasilitasi izin usaha</v>
      </c>
      <c r="G124" s="40" t="s">
        <v>325</v>
      </c>
      <c r="H124" s="87" t="s">
        <v>330</v>
      </c>
      <c r="I124" s="88" t="s">
        <v>331</v>
      </c>
      <c r="J124" s="88" t="s">
        <v>332</v>
      </c>
      <c r="K124" s="78" t="s">
        <v>322</v>
      </c>
      <c r="L124" s="78" t="s">
        <v>224</v>
      </c>
    </row>
    <row r="125" spans="1:12" s="45" customFormat="1" ht="29.15" x14ac:dyDescent="0.4">
      <c r="A125" s="72"/>
      <c r="B125" s="71" t="s">
        <v>24</v>
      </c>
      <c r="C125" s="38" t="s">
        <v>333</v>
      </c>
      <c r="D125" s="67">
        <f>'[1]INPUTAN DESA 2026'!F463</f>
        <v>1</v>
      </c>
      <c r="E125" s="39" t="str">
        <f>IF(D125=1,"Tidak Terdapat Layanan Perbankan",
IF(D125=2,"Waktu Pelayanan Pebankan Tidak Pasti",
IF(D125=3,"Waktu Pelayanan Perbankan Beroperasi 1-3 Hari Seminggu",
IF(D125=4,"Waktu Pelayanan Perbankan Beroperasi 4-5 Hari Seminggu",
IF(D125=5,"Waktu Pelayanan Perbankan Beroperasi &gt;5 Hari Seminggu","Tidak Teridentifikasi")))))</f>
        <v>Tidak Terdapat Layanan Perbankan</v>
      </c>
      <c r="F125" s="39" t="str">
        <f>IF(D125=5,"",IF(D125&lt;5,"Fasilitasi layanan perbankan","Tidak Teridentifikasi"))</f>
        <v>Fasilitasi layanan perbankan</v>
      </c>
      <c r="G125" s="40" t="s">
        <v>299</v>
      </c>
      <c r="H125" s="87" t="s">
        <v>330</v>
      </c>
      <c r="I125" s="88" t="s">
        <v>331</v>
      </c>
      <c r="J125" s="88" t="s">
        <v>332</v>
      </c>
      <c r="K125" s="78" t="s">
        <v>322</v>
      </c>
      <c r="L125" s="78" t="s">
        <v>224</v>
      </c>
    </row>
    <row r="126" spans="1:12" s="45" customFormat="1" ht="58.3" x14ac:dyDescent="0.4">
      <c r="A126" s="72"/>
      <c r="B126" s="71" t="s">
        <v>27</v>
      </c>
      <c r="C126" s="86" t="s">
        <v>334</v>
      </c>
      <c r="D126" s="67">
        <f>'[1]INPUTAN DESA 2026'!F466</f>
        <v>5</v>
      </c>
      <c r="E126" s="67" t="str">
        <f>IF(D126=1,"Tidak Terdapat Layanan Fasilitas Kredit Berupa KUR di Desa",
IF(D126=5,"Terdapat Layanan Fasilitas Kredit Berupa KUR di Desa","Tidak Teridentifikasi"))</f>
        <v>Terdapat Layanan Fasilitas Kredit Berupa KUR di Desa</v>
      </c>
      <c r="F126" s="39" t="str">
        <f>IF(D126=5,"",IF(D126&lt;5,"Fasilitasi Kredit KUR di Desa","Tidak Teridentifikasi"))</f>
        <v/>
      </c>
      <c r="G126" s="40" t="s">
        <v>299</v>
      </c>
      <c r="H126" s="87" t="s">
        <v>335</v>
      </c>
      <c r="I126" s="88" t="s">
        <v>336</v>
      </c>
      <c r="J126" s="88" t="s">
        <v>337</v>
      </c>
      <c r="K126" s="78" t="s">
        <v>338</v>
      </c>
      <c r="L126" s="78" t="s">
        <v>224</v>
      </c>
    </row>
    <row r="127" spans="1:12" s="45" customFormat="1" ht="58.3" x14ac:dyDescent="0.4">
      <c r="A127" s="72"/>
      <c r="B127" s="71" t="s">
        <v>65</v>
      </c>
      <c r="C127" s="86" t="s">
        <v>339</v>
      </c>
      <c r="D127" s="67">
        <f>'[1]INPUTAN DESA 2026'!F467</f>
        <v>1</v>
      </c>
      <c r="E127" s="67" t="str">
        <f>IF(D127=1,"Tidak Terdapat Layanan Fasilitas Kredit Berupa KKP-E di Desa",
IF(D127=5,"Terdapat Layanan Fasilitas Kredit Berupa KKP-E di Desa","Tidak Teridentifikasi"))</f>
        <v>Tidak Terdapat Layanan Fasilitas Kredit Berupa KKP-E di Desa</v>
      </c>
      <c r="F127" s="39" t="str">
        <f>IF(D127=5,"",IF(D127&lt;5,"Fasilitasi Kredit KKP-E di Desa","Tidak Teridentifikasi"))</f>
        <v>Fasilitasi Kredit KKP-E di Desa</v>
      </c>
      <c r="G127" s="40" t="s">
        <v>299</v>
      </c>
      <c r="H127" s="87" t="s">
        <v>340</v>
      </c>
      <c r="I127" s="88" t="s">
        <v>336</v>
      </c>
      <c r="J127" s="88" t="s">
        <v>337</v>
      </c>
      <c r="K127" s="78" t="s">
        <v>338</v>
      </c>
      <c r="L127" s="78" t="s">
        <v>224</v>
      </c>
    </row>
    <row r="128" spans="1:12" s="45" customFormat="1" ht="43.75" x14ac:dyDescent="0.4">
      <c r="A128" s="72"/>
      <c r="B128" s="71" t="s">
        <v>149</v>
      </c>
      <c r="C128" s="86" t="s">
        <v>341</v>
      </c>
      <c r="D128" s="67">
        <f>'[1]INPUTAN DESA 2026'!F468</f>
        <v>1</v>
      </c>
      <c r="E128" s="67" t="str">
        <f>IF(D128=1,"Tidak Terdapat Layanan Fasilitas Kredit Berupa KUK di Desa",
IF(D128=5,"Terdapat Layanan Fasilitas Kredit Berupa KUK di Desa","Tidak Teridentifikasi"))</f>
        <v>Tidak Terdapat Layanan Fasilitas Kredit Berupa KUK di Desa</v>
      </c>
      <c r="F128" s="39" t="str">
        <f>IF(D128=5,"",IF(D128&lt;5,"Fasilitasi Kredit KUK di Desa","Tidak Teridentifikasi"))</f>
        <v>Fasilitasi Kredit KUK di Desa</v>
      </c>
      <c r="G128" s="40" t="s">
        <v>299</v>
      </c>
      <c r="H128" s="87" t="s">
        <v>342</v>
      </c>
      <c r="I128" s="88" t="s">
        <v>336</v>
      </c>
      <c r="J128" s="88" t="s">
        <v>337</v>
      </c>
      <c r="K128" s="78" t="s">
        <v>343</v>
      </c>
      <c r="L128" s="78" t="s">
        <v>224</v>
      </c>
    </row>
    <row r="129" spans="1:12" s="45" customFormat="1" ht="58.3" x14ac:dyDescent="0.4">
      <c r="A129" s="72"/>
      <c r="B129" s="71" t="s">
        <v>323</v>
      </c>
      <c r="C129" s="86" t="s">
        <v>344</v>
      </c>
      <c r="D129" s="67">
        <f>'[1]INPUTAN DESA 2026'!F469</f>
        <v>1</v>
      </c>
      <c r="E129" s="67" t="str">
        <f>IF(D129=1,"Status Layanan Fasilitas Kredit Tidak Resmi",
IF(D129=5,"Status Layanan Fasilitas Kredit Sudah Resmi","Tidak Teridentifikasi"))</f>
        <v>Status Layanan Fasilitas Kredit Tidak Resmi</v>
      </c>
      <c r="F129" s="39" t="str">
        <f>IF(D129=5,"",IF(D129&lt;5,"Fasilitasi Kredit di Desa","Tidak Teridentifikasi"))</f>
        <v>Fasilitasi Kredit di Desa</v>
      </c>
      <c r="G129" s="40" t="s">
        <v>299</v>
      </c>
      <c r="H129" s="87" t="s">
        <v>345</v>
      </c>
      <c r="I129" s="88" t="s">
        <v>336</v>
      </c>
      <c r="J129" s="88" t="s">
        <v>337</v>
      </c>
      <c r="K129" s="78" t="s">
        <v>343</v>
      </c>
      <c r="L129" s="78" t="s">
        <v>224</v>
      </c>
    </row>
    <row r="130" spans="1:12" ht="30" customHeight="1" x14ac:dyDescent="0.4">
      <c r="A130" s="68">
        <v>4</v>
      </c>
      <c r="B130" s="69"/>
      <c r="C130" s="18" t="s">
        <v>346</v>
      </c>
      <c r="D130" s="19">
        <f>IFERROR((D131+D149),"Tidak Teridentifikasi")</f>
        <v>86</v>
      </c>
      <c r="E130" s="20"/>
      <c r="F130" s="21"/>
      <c r="G130" s="55"/>
      <c r="H130" s="56"/>
      <c r="I130" s="56"/>
      <c r="J130" s="56"/>
      <c r="K130" s="57"/>
      <c r="L130" s="58"/>
    </row>
    <row r="131" spans="1:12" ht="30" customHeight="1" x14ac:dyDescent="0.4">
      <c r="A131" s="68" t="s">
        <v>347</v>
      </c>
      <c r="B131" s="69"/>
      <c r="C131" s="18" t="s">
        <v>348</v>
      </c>
      <c r="D131" s="19">
        <f>IFERROR((D132+D137+D141+D143),"Tidak Teridentifikasi")</f>
        <v>61</v>
      </c>
      <c r="E131" s="25"/>
      <c r="F131" s="26"/>
      <c r="G131" s="79"/>
      <c r="H131" s="80"/>
      <c r="I131" s="80"/>
      <c r="J131" s="80"/>
      <c r="K131" s="81"/>
      <c r="L131" s="82"/>
    </row>
    <row r="132" spans="1:12" ht="30" customHeight="1" x14ac:dyDescent="0.4">
      <c r="A132" s="68">
        <v>34</v>
      </c>
      <c r="B132" s="69"/>
      <c r="C132" s="30" t="s">
        <v>349</v>
      </c>
      <c r="D132" s="19">
        <f>IFERROR((D133+D134+D135+D136),"Tidak Teridentifikasi")</f>
        <v>16</v>
      </c>
      <c r="E132" s="31"/>
      <c r="F132" s="32"/>
      <c r="G132" s="59"/>
      <c r="H132" s="60"/>
      <c r="I132" s="60"/>
      <c r="J132" s="60"/>
      <c r="K132" s="61"/>
      <c r="L132" s="62"/>
    </row>
    <row r="133" spans="1:12" s="45" customFormat="1" ht="58.3" x14ac:dyDescent="0.4">
      <c r="A133" s="72"/>
      <c r="B133" s="71" t="s">
        <v>16</v>
      </c>
      <c r="C133" s="86" t="s">
        <v>350</v>
      </c>
      <c r="D133" s="67">
        <f>'[1]INPUTAN DESA 2026'!F474</f>
        <v>5</v>
      </c>
      <c r="E133" s="67" t="str">
        <f>IF(D133=1,"Tidak Terdapat Upaya Menjaga/ Mempertahankan/ Melestarikan Kearifan Lingkungan di Desa",
IF(D133=3,"Hanya Terdapat 1 Kearifan Lingkungan yang Dijaga/ DIpertahankan/ Dilestarikan",
IF(D133=5,"Terdapat lebih dari 1 Kearifan Lingkungan yang Dijaga/ DIpertahankan/ Dilestarikan","Tidak Teridentifikasi")))</f>
        <v>Terdapat lebih dari 1 Kearifan Lingkungan yang Dijaga/ DIpertahankan/ Dilestarikan</v>
      </c>
      <c r="F133" s="39" t="str">
        <f>IF(D133=5,"",IF(D133&lt;5,"Sosialisasi/Pelatihan/Penyuluhan/Penyadaran dalam pemanfaatan sumber daya alam dan lingkungan secara berkelanjutan melalui pemanfaatan energi terbarukan, pengelolaan lingkungan desa, dan pelestarian sumber daya alam desa","Tidak Teridentifikasi"))</f>
        <v/>
      </c>
      <c r="G133" s="40" t="s">
        <v>351</v>
      </c>
      <c r="H133" s="87" t="s">
        <v>352</v>
      </c>
      <c r="I133" s="88" t="s">
        <v>353</v>
      </c>
      <c r="J133" s="88" t="s">
        <v>354</v>
      </c>
      <c r="K133" s="78" t="s">
        <v>355</v>
      </c>
      <c r="L133" s="78" t="s">
        <v>356</v>
      </c>
    </row>
    <row r="134" spans="1:12" s="45" customFormat="1" ht="72.900000000000006" x14ac:dyDescent="0.4">
      <c r="A134" s="72"/>
      <c r="B134" s="71" t="s">
        <v>24</v>
      </c>
      <c r="C134" s="38" t="s">
        <v>357</v>
      </c>
      <c r="D134" s="67">
        <f>'[1]INPUTAN DESA 2026'!F476</f>
        <v>5</v>
      </c>
      <c r="E134" s="67" t="str">
        <f>IF(D134=1,"Tidak Terdapat Peraturan Regulasi yang Mengatur Terkait Pelestarian Lingkungan di Desa",
IF(D134=5,"Terdapat Peraturan Regulasi yang Mengatur Terkait Pelestarian Lingkungan di Desa","Tidak Teridentifikasi"))</f>
        <v>Terdapat Peraturan Regulasi yang Mengatur Terkait Pelestarian Lingkungan di Desa</v>
      </c>
      <c r="F134" s="39" t="str">
        <f>IF(D134=5,"",IF(D134&lt;5,"Penyusunan dan sosialisasi peraturan desa tentang Peningkatan Kapasitas Kelompok Masyarakat dalam Pengelolaan Energi Terbarukan dan Pelestarian Lingkungan Hidup","Tidak Teridentifikasi"))</f>
        <v/>
      </c>
      <c r="G134" s="40" t="s">
        <v>358</v>
      </c>
      <c r="H134" s="87" t="s">
        <v>359</v>
      </c>
      <c r="I134" s="88" t="s">
        <v>360</v>
      </c>
      <c r="J134" s="88" t="s">
        <v>361</v>
      </c>
      <c r="K134" s="78" t="s">
        <v>362</v>
      </c>
      <c r="L134" s="78" t="s">
        <v>363</v>
      </c>
    </row>
    <row r="135" spans="1:12" s="45" customFormat="1" ht="72.900000000000006" x14ac:dyDescent="0.4">
      <c r="A135" s="72"/>
      <c r="B135" s="71" t="s">
        <v>27</v>
      </c>
      <c r="C135" s="38" t="s">
        <v>364</v>
      </c>
      <c r="D135" s="67">
        <f>'[1]INPUTAN DESA 2026'!F477</f>
        <v>5</v>
      </c>
      <c r="E135" s="67" t="str">
        <f>IF(D135=1,"Tidak Terdapat Kegiatan Pelestarian Lingkungan Berbasis Kearifan Lokal Bidang Lingkungan di Desa",
IF(D135=5,"Terdapat Kegiatan Pelestarian Lingkungan Berbasis Kearifan Lokal Bidang Lingkungan di Desa","Tidak Teridentifikasi"))</f>
        <v>Terdapat Kegiatan Pelestarian Lingkungan Berbasis Kearifan Lokal Bidang Lingkungan di Desa</v>
      </c>
      <c r="F135" s="39" t="str">
        <f>IF(D135=5,"",IF(D135&lt;5,"Pelatihan/Sosialisasi/Penyuluhan/Penyadaran dan kegiatan Pelestarian Lingkungan Berbasis Kearifan Lokal Bidang Lingkungan di Desa","Tidak Teridentifikasi"))</f>
        <v/>
      </c>
      <c r="G135" s="40" t="s">
        <v>365</v>
      </c>
      <c r="H135" s="87" t="s">
        <v>352</v>
      </c>
      <c r="I135" s="88" t="s">
        <v>366</v>
      </c>
      <c r="J135" s="88" t="s">
        <v>367</v>
      </c>
      <c r="K135" s="78" t="s">
        <v>368</v>
      </c>
      <c r="L135" s="78" t="s">
        <v>369</v>
      </c>
    </row>
    <row r="136" spans="1:12" s="45" customFormat="1" ht="58.3" x14ac:dyDescent="0.4">
      <c r="A136" s="72"/>
      <c r="B136" s="71" t="s">
        <v>65</v>
      </c>
      <c r="C136" s="38" t="s">
        <v>370</v>
      </c>
      <c r="D136" s="67">
        <f>'[1]INPUTAN DESA 2026'!F478</f>
        <v>1</v>
      </c>
      <c r="E136" s="67" t="str">
        <f>IF(D136=1,"Tidak Terdapat Pemanfaatan Energi Baru Terbarukan (EBT) di Desa",
IF(D136=5,"Terdapat Pemanfaatan Energi Baru Terbarukan (EBT) di Desa","Tidak Teridentifikasi"))</f>
        <v>Tidak Terdapat Pemanfaatan Energi Baru Terbarukan (EBT) di Desa</v>
      </c>
      <c r="F136" s="39" t="str">
        <f>IF(D136=5,"",IF(D136&lt;5,"Sosialiasi, Pelatihan, Pengadaan, Pelestarian, Pemanfaatan Sumber Daya Alam serta Lingkungan secara Berkelanjutan melalui Energi Terbarukan","Tidak Teridentifikasi"))</f>
        <v>Sosialiasi, Pelatihan, Pengadaan, Pelestarian, Pemanfaatan Sumber Daya Alam serta Lingkungan secara Berkelanjutan melalui Energi Terbarukan</v>
      </c>
      <c r="G136" s="40" t="s">
        <v>371</v>
      </c>
      <c r="H136" s="87" t="s">
        <v>372</v>
      </c>
      <c r="I136" s="88" t="s">
        <v>373</v>
      </c>
      <c r="J136" s="88" t="s">
        <v>374</v>
      </c>
      <c r="K136" s="78" t="s">
        <v>375</v>
      </c>
      <c r="L136" s="78" t="s">
        <v>376</v>
      </c>
    </row>
    <row r="137" spans="1:12" ht="30" customHeight="1" x14ac:dyDescent="0.4">
      <c r="A137" s="68">
        <v>35</v>
      </c>
      <c r="B137" s="69"/>
      <c r="C137" s="30" t="s">
        <v>377</v>
      </c>
      <c r="D137" s="19">
        <f>IFERROR((D138+D139+D140),"Tidak Teridentifikasi")</f>
        <v>15</v>
      </c>
      <c r="E137" s="19"/>
      <c r="F137" s="19"/>
      <c r="G137" s="101"/>
      <c r="H137" s="95"/>
      <c r="I137" s="96"/>
      <c r="J137" s="96"/>
      <c r="K137" s="97"/>
      <c r="L137" s="97"/>
    </row>
    <row r="138" spans="1:12" s="45" customFormat="1" ht="87.45" x14ac:dyDescent="0.4">
      <c r="A138" s="72"/>
      <c r="B138" s="71" t="s">
        <v>16</v>
      </c>
      <c r="C138" s="86" t="s">
        <v>378</v>
      </c>
      <c r="D138" s="67">
        <f>'[1]INPUTAN DESA 2026'!F481</f>
        <v>5</v>
      </c>
      <c r="E138" s="67" t="str">
        <f>IF(D138=1,"Sampah Tidak Dibuang ke Tempat Penampungan Sampah",
IF(D138=5,"Sampah Dibuang ke Tempat Penampungan Sampah","Tidak Teridentifikasi"))</f>
        <v>Sampah Dibuang ke Tempat Penampungan Sampah</v>
      </c>
      <c r="F138" s="39" t="str">
        <f>IF(D138=5,"",IF(D138&lt;5,"Pembangunan, Perbaikan, dan Rehabilitasi Tempat Pembuangan Sampah ","Tidak Teridentifikasi"))</f>
        <v/>
      </c>
      <c r="G138" s="40" t="s">
        <v>379</v>
      </c>
      <c r="H138" s="87" t="s">
        <v>380</v>
      </c>
      <c r="I138" s="88" t="s">
        <v>381</v>
      </c>
      <c r="J138" s="88" t="s">
        <v>382</v>
      </c>
      <c r="K138" s="78" t="s">
        <v>383</v>
      </c>
      <c r="L138" s="78" t="s">
        <v>384</v>
      </c>
    </row>
    <row r="139" spans="1:12" s="45" customFormat="1" ht="72.900000000000006" x14ac:dyDescent="0.4">
      <c r="A139" s="72"/>
      <c r="B139" s="71" t="s">
        <v>24</v>
      </c>
      <c r="C139" s="38" t="s">
        <v>385</v>
      </c>
      <c r="D139" s="67">
        <f>'[1]INPUTAN DESA 2026'!F484</f>
        <v>5</v>
      </c>
      <c r="E139" s="67" t="str">
        <f>IF(D139=1,"Tidak Dilakukan Pengolahan Sampah di Desa ",
IF(D139=5,"Dilakukan Pengolahan Sampah di Desa ","Tidak Teridentifikasi"))</f>
        <v xml:space="preserve">Dilakukan Pengolahan Sampah di Desa </v>
      </c>
      <c r="F139" s="39" t="str">
        <f>IF(D139=5,"",IF(D139&lt;5,"Sosialisasi, Pelatihan Pengelolaan Sampah Terpadu dan Berwawasan Lingkungan melalui Bank Sampah Desa, Gerobak Sampah, Kendaraan Pengangkut, dan Mesin Pengolah Sampah","Tidak Teridentifikasi"))</f>
        <v/>
      </c>
      <c r="G139" s="40" t="s">
        <v>379</v>
      </c>
      <c r="H139" s="87" t="s">
        <v>386</v>
      </c>
      <c r="I139" s="88" t="s">
        <v>387</v>
      </c>
      <c r="J139" s="88" t="s">
        <v>382</v>
      </c>
      <c r="K139" s="78" t="s">
        <v>388</v>
      </c>
      <c r="L139" s="78" t="s">
        <v>376</v>
      </c>
    </row>
    <row r="140" spans="1:12" s="45" customFormat="1" ht="72.900000000000006" x14ac:dyDescent="0.4">
      <c r="A140" s="72"/>
      <c r="B140" s="71" t="s">
        <v>27</v>
      </c>
      <c r="C140" s="38" t="s">
        <v>389</v>
      </c>
      <c r="D140" s="67">
        <f>'[1]INPUTAN DESA 2026'!F486</f>
        <v>5</v>
      </c>
      <c r="E140" s="67" t="str">
        <f>IF(D140=1,"Tidak Dilakukan Pemanfaatan Sampah di Desa ",
IF(D140=5,"Dilakukan Pemanfaatan Sampah di Desa ","Tidak Teridentifikasi"))</f>
        <v xml:space="preserve">Dilakukan Pemanfaatan Sampah di Desa </v>
      </c>
      <c r="F140" s="39" t="str">
        <f>IF(D140=5,"",IF(D140&lt;5,"Sosialisasi, Pelatihan, dan Pemanfaatan Sampah Rumah Tangga secara Terpadu","Tidak Teridentifikasi"))</f>
        <v/>
      </c>
      <c r="G140" s="40" t="s">
        <v>379</v>
      </c>
      <c r="H140" s="87" t="s">
        <v>386</v>
      </c>
      <c r="I140" s="88" t="s">
        <v>387</v>
      </c>
      <c r="J140" s="88" t="s">
        <v>382</v>
      </c>
      <c r="K140" s="78" t="s">
        <v>390</v>
      </c>
      <c r="L140" s="78" t="s">
        <v>391</v>
      </c>
    </row>
    <row r="141" spans="1:12" ht="30" customHeight="1" x14ac:dyDescent="0.4">
      <c r="A141" s="68">
        <v>36</v>
      </c>
      <c r="B141" s="69"/>
      <c r="C141" s="30" t="s">
        <v>392</v>
      </c>
      <c r="D141" s="19">
        <f>D142</f>
        <v>5</v>
      </c>
      <c r="E141" s="49"/>
      <c r="F141" s="50"/>
      <c r="G141" s="51"/>
      <c r="H141" s="52"/>
      <c r="I141" s="52"/>
      <c r="J141" s="52"/>
      <c r="K141" s="53"/>
      <c r="L141" s="54"/>
    </row>
    <row r="142" spans="1:12" s="45" customFormat="1" ht="87.45" x14ac:dyDescent="0.4">
      <c r="A142" s="72"/>
      <c r="B142" s="71" t="s">
        <v>16</v>
      </c>
      <c r="C142" s="38" t="s">
        <v>393</v>
      </c>
      <c r="D142" s="39">
        <f>'[1]INPUTAN DESA 2026'!F493</f>
        <v>5</v>
      </c>
      <c r="E142" s="39" t="str">
        <f>IF(D142=1,"Skor Kejadian Pencemaran Lingkungan Bernilai 1",
IF(D142=2,"Skor Kejadian Pencemaran Lingkungan Bernilai &gt;=0.5",
IF(D142=4,"Skor Kejadian Pencemaran Lingkungan Bernilai &lt;0.5",
IF(D142=5,"Skor Kejadian Pencemaran Lingkungan Bernilai 0","Tidak Teridentifikasi"))))</f>
        <v>Skor Kejadian Pencemaran Lingkungan Bernilai 0</v>
      </c>
      <c r="F142" s="39" t="str">
        <f>IF(D142=5,"",IF(D142&lt;5,"Sosialisasi, Edukasi, dan Pelatihan dalam Menjaga pelestarian Lingkungan Air, Udara, Tanah","Tidak Teridentifikasi"))</f>
        <v/>
      </c>
      <c r="G142" s="40" t="s">
        <v>394</v>
      </c>
      <c r="H142" s="87" t="s">
        <v>395</v>
      </c>
      <c r="I142" s="88" t="s">
        <v>396</v>
      </c>
      <c r="J142" s="88" t="s">
        <v>397</v>
      </c>
      <c r="K142" s="78" t="s">
        <v>390</v>
      </c>
      <c r="L142" s="78" t="s">
        <v>398</v>
      </c>
    </row>
    <row r="143" spans="1:12" ht="30" customHeight="1" x14ac:dyDescent="0.4">
      <c r="A143" s="68">
        <v>37</v>
      </c>
      <c r="B143" s="69"/>
      <c r="C143" s="30" t="s">
        <v>399</v>
      </c>
      <c r="D143" s="19">
        <f>IFERROR((D144+D145+D146+D147+D148),"Tidak Teridentifikasi")</f>
        <v>25</v>
      </c>
      <c r="E143" s="49"/>
      <c r="F143" s="50"/>
      <c r="G143" s="51"/>
      <c r="H143" s="52"/>
      <c r="I143" s="52"/>
      <c r="J143" s="52"/>
      <c r="K143" s="53"/>
      <c r="L143" s="54"/>
    </row>
    <row r="144" spans="1:12" s="45" customFormat="1" ht="87.45" x14ac:dyDescent="0.4">
      <c r="A144" s="73" t="s">
        <v>400</v>
      </c>
      <c r="B144" s="71" t="s">
        <v>16</v>
      </c>
      <c r="C144" s="38" t="s">
        <v>401</v>
      </c>
      <c r="D144" s="39">
        <f>'[1]INPUTAN DESA 2026'!F497</f>
        <v>5</v>
      </c>
      <c r="E144" s="39" t="str">
        <f>IF(D144=1,"Masih Menggunakan Jamban Komunal",
IF(D144=3,"Sebagian Kecil Rumah Tangga Sudah Memiliki Jamban Individu (&lt;50%)",
IF(D144=5,"Sebagian Besar Rumah Tangga Sudah Memiliki Jamban Individu (&gt;=50%)","Tidak Teridentifikasi")))</f>
        <v>Sebagian Besar Rumah Tangga Sudah Memiliki Jamban Individu (&gt;=50%)</v>
      </c>
      <c r="F144" s="39" t="str">
        <f>IF(D144=5,"",IF(D144&lt;5,"Sosialisasi, Pelatihan, peningkatan,Pembangunan, Peningkatan Jamban/ Sanitasi ","Tidak Teridentifikasi"))</f>
        <v/>
      </c>
      <c r="G144" s="40" t="s">
        <v>402</v>
      </c>
      <c r="H144" s="87" t="s">
        <v>403</v>
      </c>
      <c r="I144" s="88" t="s">
        <v>404</v>
      </c>
      <c r="J144" s="88" t="s">
        <v>405</v>
      </c>
      <c r="K144" s="78" t="s">
        <v>406</v>
      </c>
      <c r="L144" s="78" t="s">
        <v>407</v>
      </c>
    </row>
    <row r="145" spans="1:12" s="45" customFormat="1" ht="102" x14ac:dyDescent="0.4">
      <c r="A145" s="72"/>
      <c r="B145" s="71" t="s">
        <v>24</v>
      </c>
      <c r="C145" s="38" t="s">
        <v>408</v>
      </c>
      <c r="D145" s="67">
        <f>'[1]INPUTAN DESA 2026'!F498</f>
        <v>5</v>
      </c>
      <c r="E145" s="67" t="str">
        <f>IF(D145=1,"Jamban Tidak Berfungsi",
IF(D145=5,"Jamban Berfungsi","Tidak Teridentifikasi"))</f>
        <v>Jamban Berfungsi</v>
      </c>
      <c r="F145" s="39" t="str">
        <f>IF(D145=5,"",IF(D145&lt;5,"Pembangunan/Pemeliharaan Fasilitas Jamban / Sanitasi ","Tidak Teridentifikasi"))</f>
        <v/>
      </c>
      <c r="G145" s="40" t="s">
        <v>409</v>
      </c>
      <c r="H145" s="87" t="s">
        <v>410</v>
      </c>
      <c r="I145" s="88" t="s">
        <v>396</v>
      </c>
      <c r="J145" s="88" t="s">
        <v>411</v>
      </c>
      <c r="K145" s="78" t="s">
        <v>406</v>
      </c>
      <c r="L145" s="78" t="s">
        <v>384</v>
      </c>
    </row>
    <row r="146" spans="1:12" s="45" customFormat="1" ht="87.45" x14ac:dyDescent="0.4">
      <c r="A146" s="72"/>
      <c r="B146" s="71" t="s">
        <v>27</v>
      </c>
      <c r="C146" s="38" t="s">
        <v>412</v>
      </c>
      <c r="D146" s="67">
        <f>'[1]INPUTAN DESA 2026'!F500</f>
        <v>5</v>
      </c>
      <c r="E146" s="67" t="str">
        <f>IF(D146=1,"Tidak Tersedia Tangki Septic Tank",
IF(D146=3,"Tersedia Tangki Septic Tank Bersama/ Komunal",
IF(D146=5,"Tersedia Tangki Septic Tank Sendiri/ Individu","Tidak Teridentifikasi")))</f>
        <v>Tersedia Tangki Septic Tank Sendiri/ Individu</v>
      </c>
      <c r="F146" s="39" t="str">
        <f>IF(D146=5,"",IF(D146&lt;5,"Pembangunan/Pemeliharaan Sanitasi melalui Septic Tank","Tidak Teridentifikasi"))</f>
        <v/>
      </c>
      <c r="G146" s="40" t="s">
        <v>402</v>
      </c>
      <c r="H146" s="87" t="s">
        <v>413</v>
      </c>
      <c r="I146" s="88" t="s">
        <v>414</v>
      </c>
      <c r="J146" s="88" t="s">
        <v>415</v>
      </c>
      <c r="K146" s="78" t="s">
        <v>406</v>
      </c>
      <c r="L146" s="78" t="s">
        <v>384</v>
      </c>
    </row>
    <row r="147" spans="1:12" s="45" customFormat="1" ht="87.45" x14ac:dyDescent="0.4">
      <c r="A147" s="72"/>
      <c r="B147" s="71" t="s">
        <v>65</v>
      </c>
      <c r="C147" s="38" t="s">
        <v>416</v>
      </c>
      <c r="D147" s="67">
        <f>'[1]INPUTAN DESA 2026'!F501</f>
        <v>5</v>
      </c>
      <c r="E147" s="67" t="str">
        <f>IF(D147=1,"Tangki Septic Tank Tidak Berfungsi",
IF(D147=5,"Tangki Septic Tank Berfungsi","Tidak Teridentifikasi"))</f>
        <v>Tangki Septic Tank Berfungsi</v>
      </c>
      <c r="F147" s="39" t="str">
        <f>IF(D147=5,"",IF(D147&lt;5,"Penyediaan, Pemeliharaan, dan Pengembangan Sarana Sanitasi Aman","Tidak Teridentifikasi"))</f>
        <v/>
      </c>
      <c r="G147" s="40" t="s">
        <v>402</v>
      </c>
      <c r="H147" s="87" t="s">
        <v>413</v>
      </c>
      <c r="I147" s="88" t="s">
        <v>414</v>
      </c>
      <c r="J147" s="88" t="s">
        <v>415</v>
      </c>
      <c r="K147" s="78" t="s">
        <v>406</v>
      </c>
      <c r="L147" s="78" t="s">
        <v>384</v>
      </c>
    </row>
    <row r="148" spans="1:12" s="45" customFormat="1" ht="87.45" x14ac:dyDescent="0.4">
      <c r="A148" s="72"/>
      <c r="B148" s="71" t="s">
        <v>149</v>
      </c>
      <c r="C148" s="38" t="s">
        <v>417</v>
      </c>
      <c r="D148" s="67">
        <f>'[1]INPUTAN DESA 2026'!F502</f>
        <v>5</v>
      </c>
      <c r="E148" s="67" t="str">
        <f>IF(D148=1,"Pembuangan Air Limbah Cair Rumah Tidak Memiliki Aliran Khusus/ Langsung Dibuang ke Tanah/ Sungai/ Danau/ Saluran Irigasi/ Laut",
IF(D148=5,"Pembuangan Air Limbah Cair Rumah Memiliki Aliran Khusus (Seperti Lubang Khusus/ Resapan, dan Lainnya)","Tidak Teridentifikasi"))</f>
        <v>Pembuangan Air Limbah Cair Rumah Memiliki Aliran Khusus (Seperti Lubang Khusus/ Resapan, dan Lainnya)</v>
      </c>
      <c r="F148" s="39" t="str">
        <f>IF(D148=5,"",IF(D148&lt;5,"Sosialisasi, edukasi menjaga pelaestarian lingkungan pada Air Limbah Rumah Tangga
Pembangunan,Rehabilitasi,Pemeliharaan Pelestarian lingkungan air limbah cari rumah tangga","Tidak Teridentifikasi"))</f>
        <v/>
      </c>
      <c r="G148" s="40" t="s">
        <v>418</v>
      </c>
      <c r="H148" s="87" t="s">
        <v>413</v>
      </c>
      <c r="I148" s="88" t="s">
        <v>414</v>
      </c>
      <c r="J148" s="88" t="s">
        <v>415</v>
      </c>
      <c r="K148" s="78" t="s">
        <v>406</v>
      </c>
      <c r="L148" s="78" t="s">
        <v>384</v>
      </c>
    </row>
    <row r="149" spans="1:12" ht="30" customHeight="1" x14ac:dyDescent="0.4">
      <c r="A149" s="68" t="s">
        <v>419</v>
      </c>
      <c r="B149" s="69"/>
      <c r="C149" s="18" t="s">
        <v>420</v>
      </c>
      <c r="D149" s="19">
        <f>D150</f>
        <v>25</v>
      </c>
      <c r="E149" s="20"/>
      <c r="F149" s="21"/>
      <c r="G149" s="55"/>
      <c r="H149" s="56"/>
      <c r="I149" s="56"/>
      <c r="J149" s="56"/>
      <c r="K149" s="57"/>
      <c r="L149" s="58"/>
    </row>
    <row r="150" spans="1:12" ht="30" customHeight="1" x14ac:dyDescent="0.4">
      <c r="A150" s="68">
        <v>38</v>
      </c>
      <c r="B150" s="69"/>
      <c r="C150" s="30" t="s">
        <v>421</v>
      </c>
      <c r="D150" s="19">
        <f>IFERROR((D151+D152+D153+D154+D155),"Tidak Teridentifikasi")</f>
        <v>25</v>
      </c>
      <c r="E150" s="31"/>
      <c r="F150" s="32"/>
      <c r="G150" s="59"/>
      <c r="H150" s="60"/>
      <c r="I150" s="60"/>
      <c r="J150" s="60"/>
      <c r="K150" s="61"/>
      <c r="L150" s="62"/>
    </row>
    <row r="151" spans="1:12" s="45" customFormat="1" ht="131.15" x14ac:dyDescent="0.4">
      <c r="A151" s="72"/>
      <c r="B151" s="71" t="s">
        <v>16</v>
      </c>
      <c r="C151" s="38" t="s">
        <v>422</v>
      </c>
      <c r="D151" s="67">
        <f>'[1]INPUTAN DESA 2026'!F516</f>
        <v>5</v>
      </c>
      <c r="E151" s="67" t="str">
        <f>IF(D151=1,"Tidak Tersedia Aspek Informasi Kebencanaan seperti Data Kejadian Bencana, Indeks Resiko Bencana dan Peta Rawan Bencana",
IF(D151=5,"Tersedia Aspek Informasi Kebencanaan seperti Data Kejadian Bencana, Indeks Resiko Bencana dan Peta Rawan Bencana","Tidak Teridentifikasi"))</f>
        <v>Tersedia Aspek Informasi Kebencanaan seperti Data Kejadian Bencana, Indeks Resiko Bencana dan Peta Rawan Bencana</v>
      </c>
      <c r="F151" s="39" t="str">
        <f>IF(D151=5,"",IF(D151&lt;5,"Menyusun kajian risiko dan peta bencana desa, merencanakan penanggulangan dan evakuasi lengkap dengan SOP, jalur, logistik, serta menyebarluaskan peringatan bahaya kepada masyarakat.","Tidak Teridentifikasi"))</f>
        <v/>
      </c>
      <c r="G151" s="40" t="s">
        <v>423</v>
      </c>
      <c r="H151" s="87" t="s">
        <v>424</v>
      </c>
      <c r="I151" s="88" t="s">
        <v>425</v>
      </c>
      <c r="J151" s="88" t="s">
        <v>426</v>
      </c>
      <c r="K151" s="78" t="s">
        <v>427</v>
      </c>
      <c r="L151" s="78" t="s">
        <v>363</v>
      </c>
    </row>
    <row r="152" spans="1:12" s="45" customFormat="1" ht="131.15" x14ac:dyDescent="0.4">
      <c r="A152" s="72"/>
      <c r="B152" s="71" t="s">
        <v>24</v>
      </c>
      <c r="C152" s="38" t="s">
        <v>428</v>
      </c>
      <c r="D152" s="67">
        <f>'[1]INPUTAN DESA 2026'!F519</f>
        <v>5</v>
      </c>
      <c r="E152" s="67" t="str">
        <f>IF(D152=1,"Tidak Tersedia Fasilitas Mitigasi Bencana",
IF(D152=5,"Tersedia Fasilitas Mitigasi Bencana (Peringatan Dini, Perlengkapan Keselamatan, Jalur Evakuasi","Tidak Teridentifikasi"))</f>
        <v>Tersedia Fasilitas Mitigasi Bencana (Peringatan Dini, Perlengkapan Keselamatan, Jalur Evakuasi</v>
      </c>
      <c r="F152" s="39" t="str">
        <f>IF(D152=5,"",IF(D152&lt;5,"Melakukan Uji kesiapsiagaan/simulasi bencana Desa (Mengacu pada rencana evauasi yang telah dibuat oleh Desa)","Tidak Teridentifikasi"))</f>
        <v/>
      </c>
      <c r="G152" s="40" t="s">
        <v>429</v>
      </c>
      <c r="H152" s="87" t="s">
        <v>430</v>
      </c>
      <c r="I152" s="88" t="s">
        <v>431</v>
      </c>
      <c r="J152" s="88" t="s">
        <v>432</v>
      </c>
      <c r="K152" s="78" t="s">
        <v>433</v>
      </c>
      <c r="L152" s="78" t="s">
        <v>363</v>
      </c>
    </row>
    <row r="153" spans="1:12" s="45" customFormat="1" ht="116.6" x14ac:dyDescent="0.4">
      <c r="A153" s="72"/>
      <c r="B153" s="37" t="s">
        <v>27</v>
      </c>
      <c r="C153" s="38" t="s">
        <v>434</v>
      </c>
      <c r="D153" s="39">
        <f>'[1]INPUTAN DESA 2026'!F523</f>
        <v>5</v>
      </c>
      <c r="E153" s="39" t="str">
        <f>IF(D153=1,"Akses Menuju Fasilitas Mitigasi Bencana di Desa Sangat Sulit",
IF(D153=2,"Akses Menuju Fasilitas Mitigasi Bencana di Desa Sulit",
IF(D153=3,"Akses Menuju Fasilitas Mitigasi Bencana di Desa Sedang",
IF(D153=4,"Akses Menuju Fasilitas Mitigasi Bencana di Desa Mudah",
IF(D153=5,"Akses Menuju Fasilitas Mitigasi Bencana di Desa Sangat Mudah","Tidak Teridentifikasi")))))</f>
        <v>Akses Menuju Fasilitas Mitigasi Bencana di Desa Sangat Mudah</v>
      </c>
      <c r="F153" s="39" t="str">
        <f>IF(D153=5,"",IF(D153&lt;5,"Membangun dan memelihara jalur evakuasi serta menyiapkan tempat pengungsian bencana di desa.","Tidak Teridentifikasi"))</f>
        <v/>
      </c>
      <c r="G153" s="40" t="s">
        <v>435</v>
      </c>
      <c r="H153" s="87" t="s">
        <v>436</v>
      </c>
      <c r="I153" s="88" t="s">
        <v>437</v>
      </c>
      <c r="J153" s="88" t="s">
        <v>438</v>
      </c>
      <c r="K153" s="78" t="s">
        <v>433</v>
      </c>
      <c r="L153" s="78" t="s">
        <v>363</v>
      </c>
    </row>
    <row r="154" spans="1:12" s="45" customFormat="1" ht="116.6" x14ac:dyDescent="0.4">
      <c r="A154" s="72"/>
      <c r="B154" s="71" t="s">
        <v>65</v>
      </c>
      <c r="C154" s="38" t="s">
        <v>439</v>
      </c>
      <c r="D154" s="67">
        <f>'[1]INPUTAN DESA 2026'!F524</f>
        <v>5</v>
      </c>
      <c r="E154" s="67" t="str">
        <f>IF(D154=1,"Tidak Ada Program Penaggulangan Bencana",
IF(D154=3,"Ada Program Penanggulangan Bencana dalam Dokumen Perencanaan Desa dan Tidak Terealisasi",
IF(D154=5,"Ada Program Penanggulangan Bencana dalam Dokumen Perencanaan Desa dan Terealisasi","Tidak Teridentifikasi")))</f>
        <v>Ada Program Penanggulangan Bencana dalam Dokumen Perencanaan Desa dan Terealisasi</v>
      </c>
      <c r="F154" s="39" t="str">
        <f>IF(D154=5,"",IF(D154&lt;5,"Membentuk dan melatih kelompok atau relawan penanggulangan bencana desa serta melakukan sosialisasi kesiapsiagaan, respon darurat, pendataan, dan pemulihan bencana bagi masyarakat.","Tidak Teridentifikasi"))</f>
        <v/>
      </c>
      <c r="G154" s="40" t="s">
        <v>440</v>
      </c>
      <c r="H154" s="87" t="s">
        <v>441</v>
      </c>
      <c r="I154" s="88" t="s">
        <v>431</v>
      </c>
      <c r="J154" s="88" t="s">
        <v>442</v>
      </c>
      <c r="K154" s="78" t="s">
        <v>433</v>
      </c>
      <c r="L154" s="78" t="s">
        <v>363</v>
      </c>
    </row>
    <row r="155" spans="1:12" s="45" customFormat="1" ht="116.6" x14ac:dyDescent="0.4">
      <c r="A155" s="72"/>
      <c r="B155" s="71" t="s">
        <v>149</v>
      </c>
      <c r="C155" s="38" t="s">
        <v>443</v>
      </c>
      <c r="D155" s="67">
        <f>'[1]INPUTAN DESA 2026'!F525</f>
        <v>5</v>
      </c>
      <c r="E155" s="67" t="str">
        <f>IF(D155=1,"Tidak Tersedia Titik Evakuasi, Pos Keamanan Bencana dan Alat Kesiasiagaan Bencana",
IF(D155=5,"Tersedia Titik Evakuasi, Pos Keamanan Bencana dan Alat Kesiasiagaan Bencana","Tidak Teridentifikasi"))</f>
        <v>Tersedia Titik Evakuasi, Pos Keamanan Bencana dan Alat Kesiasiagaan Bencana</v>
      </c>
      <c r="F155" s="39" t="str">
        <f>IF(D155=5,"",IF(D155&lt;5,"Perlu Adanya Sarana dan Prasarana untuk Mitigasi serta Penanggulangan Bencana Lainnya Sesuai dengan Kewenangan","Tidak Teridentifikasi"))</f>
        <v/>
      </c>
      <c r="G155" s="40" t="s">
        <v>444</v>
      </c>
      <c r="H155" s="87" t="s">
        <v>445</v>
      </c>
      <c r="I155" s="88" t="s">
        <v>446</v>
      </c>
      <c r="J155" s="88" t="s">
        <v>447</v>
      </c>
      <c r="K155" s="78" t="s">
        <v>433</v>
      </c>
      <c r="L155" s="78" t="s">
        <v>363</v>
      </c>
    </row>
    <row r="156" spans="1:12" ht="30" customHeight="1" x14ac:dyDescent="0.4">
      <c r="A156" s="68">
        <v>5</v>
      </c>
      <c r="B156" s="69"/>
      <c r="C156" s="18" t="s">
        <v>448</v>
      </c>
      <c r="D156" s="19">
        <f>IFERROR((D157+D164),"Tidak Teridentifikasi")</f>
        <v>50</v>
      </c>
      <c r="E156" s="20"/>
      <c r="F156" s="21"/>
      <c r="G156" s="55"/>
      <c r="H156" s="56"/>
      <c r="I156" s="56"/>
      <c r="J156" s="56"/>
      <c r="K156" s="57"/>
      <c r="L156" s="58"/>
    </row>
    <row r="157" spans="1:12" ht="30" customHeight="1" x14ac:dyDescent="0.4">
      <c r="A157" s="68" t="s">
        <v>449</v>
      </c>
      <c r="B157" s="69"/>
      <c r="C157" s="18" t="s">
        <v>450</v>
      </c>
      <c r="D157" s="19">
        <f>IFERROR((D158+D161),"Tidak Teridentifikasi")</f>
        <v>20</v>
      </c>
      <c r="E157" s="25"/>
      <c r="F157" s="26"/>
      <c r="G157" s="79"/>
      <c r="H157" s="80"/>
      <c r="I157" s="80"/>
      <c r="J157" s="80"/>
      <c r="K157" s="81"/>
      <c r="L157" s="82"/>
    </row>
    <row r="158" spans="1:12" ht="30" customHeight="1" x14ac:dyDescent="0.4">
      <c r="A158" s="68">
        <v>39</v>
      </c>
      <c r="B158" s="69"/>
      <c r="C158" s="30" t="s">
        <v>451</v>
      </c>
      <c r="D158" s="19">
        <f>IFERROR((D159+D160),"Tidak Teridentifikasi")</f>
        <v>10</v>
      </c>
      <c r="E158" s="31"/>
      <c r="F158" s="32"/>
      <c r="G158" s="59"/>
      <c r="H158" s="60"/>
      <c r="I158" s="60"/>
      <c r="J158" s="60"/>
      <c r="K158" s="61"/>
      <c r="L158" s="62"/>
    </row>
    <row r="159" spans="1:12" s="45" customFormat="1" ht="102" x14ac:dyDescent="0.4">
      <c r="A159" s="72"/>
      <c r="B159" s="71" t="s">
        <v>16</v>
      </c>
      <c r="C159" s="38" t="s">
        <v>452</v>
      </c>
      <c r="D159" s="67">
        <f>'[1]INPUTAN DESA 2026'!F529</f>
        <v>5</v>
      </c>
      <c r="E159" s="39" t="str">
        <f>IF(D159=1,"Tidak Terdapat Akses Jalan Apapun",
IF(D159=2,"Akses Jalan Lainnya",
IF(D159=3,"Jenis Permukaan Jalan Sebagian Besar di Desa Berupa Tanah",
IF(D159=4,"Jenis Permukaan Jalan Sebagian Besar di Desa Diperkeras (Kerikil, Batu, dll)",
IF(D159=5,"Jenis Permukaan Jalan Sebagian Besar di Desa Berupa Aspal/ Beton","Tidak Teridentifikasi")))))</f>
        <v>Jenis Permukaan Jalan Sebagian Besar di Desa Berupa Aspal/ Beton</v>
      </c>
      <c r="F159" s="39" t="str">
        <f>IF(D159=5,"",IF(D159&lt;5,"Pembukaan Akses Jalan Aspal/ Beton di Desa ","Tidak Teridentifikasi"))</f>
        <v/>
      </c>
      <c r="G159" s="40" t="s">
        <v>453</v>
      </c>
      <c r="H159" s="87" t="s">
        <v>454</v>
      </c>
      <c r="I159" s="88" t="s">
        <v>455</v>
      </c>
      <c r="J159" s="88" t="s">
        <v>456</v>
      </c>
      <c r="K159" s="78" t="s">
        <v>457</v>
      </c>
      <c r="L159" s="78" t="s">
        <v>384</v>
      </c>
    </row>
    <row r="160" spans="1:12" s="45" customFormat="1" ht="102" x14ac:dyDescent="0.4">
      <c r="A160" s="72"/>
      <c r="B160" s="71" t="s">
        <v>24</v>
      </c>
      <c r="C160" s="38" t="s">
        <v>458</v>
      </c>
      <c r="D160" s="67">
        <f>'[1]INPUTAN DESA 2026'!F535</f>
        <v>5</v>
      </c>
      <c r="E160" s="39" t="str">
        <f>IF(D160=1,"Kualitas Sebagian Besar Jalan di Desa Rusak Berat, Tidak Dapat Dilalui Setiap Hari",
IF(D160=2,"Kualitas Sebagian Besar Jalan di Desa Rusak Sedang, Tidak Dapat Dilalui Setiap Hari",
IF(D160=4,"Kualitas Sebagian Besar Jalan di Desa Rusak Sedang, Dapat Dilalui Setiap Hari",
IF(D160=5,"Kualitas Sebagian Besar Jalan di Desa Baik, Dapat Dilalui Setiap Hari","Tidak Teridentifikasi"))))</f>
        <v>Kualitas Sebagian Besar Jalan di Desa Baik, Dapat Dilalui Setiap Hari</v>
      </c>
      <c r="F160" s="39" t="str">
        <f>IF(D160=5,"",IF(D160&lt;5,"Pembangunan Jalan di Desa agar dapat dilalui Setiap Hari","Tidak Teridentifikasi"))</f>
        <v/>
      </c>
      <c r="G160" s="40" t="s">
        <v>453</v>
      </c>
      <c r="H160" s="87" t="s">
        <v>459</v>
      </c>
      <c r="I160" s="88" t="s">
        <v>455</v>
      </c>
      <c r="J160" s="88" t="s">
        <v>456</v>
      </c>
      <c r="K160" s="78" t="s">
        <v>457</v>
      </c>
      <c r="L160" s="78" t="s">
        <v>384</v>
      </c>
    </row>
    <row r="161" spans="1:12" ht="30" customHeight="1" x14ac:dyDescent="0.4">
      <c r="A161" s="68">
        <v>40</v>
      </c>
      <c r="B161" s="69"/>
      <c r="C161" s="30" t="s">
        <v>460</v>
      </c>
      <c r="D161" s="19">
        <f>IFERROR((D162+D163),"Tidak Teridentifikasi")</f>
        <v>10</v>
      </c>
      <c r="E161" s="49"/>
      <c r="F161" s="50"/>
      <c r="G161" s="51"/>
      <c r="H161" s="52"/>
      <c r="I161" s="52"/>
      <c r="J161" s="52"/>
      <c r="K161" s="53"/>
      <c r="L161" s="54"/>
    </row>
    <row r="162" spans="1:12" s="45" customFormat="1" ht="102" x14ac:dyDescent="0.4">
      <c r="A162" s="72"/>
      <c r="B162" s="71" t="s">
        <v>16</v>
      </c>
      <c r="C162" s="38" t="s">
        <v>461</v>
      </c>
      <c r="D162" s="67">
        <f>'[1]INPUTAN DESA 2026'!F537</f>
        <v>5</v>
      </c>
      <c r="E162" s="67" t="str">
        <f>IF(D162=1,"Tidak Tersedia Penerangan Jalan Umum (PJU) di Jalan Utama Desa",
IF(D162=5,"Tersedia Penerangan Jalan Umum (PJU) di Jalan Utama Desa","Tidak Teridentifikasi"))</f>
        <v>Tersedia Penerangan Jalan Umum (PJU) di Jalan Utama Desa</v>
      </c>
      <c r="F162" s="39" t="str">
        <f>IF(D162=5,"",IF(D162&lt;5,"Pengadaan, Pembangunan Penerangan Jalan Umum di Desa menggunakan energi alternatif / energi terbarukan ","Tidak Teridentifikasi"))</f>
        <v/>
      </c>
      <c r="G162" s="40" t="s">
        <v>462</v>
      </c>
      <c r="H162" s="87" t="s">
        <v>463</v>
      </c>
      <c r="I162" s="88" t="s">
        <v>464</v>
      </c>
      <c r="J162" s="88" t="s">
        <v>456</v>
      </c>
      <c r="K162" s="78" t="s">
        <v>457</v>
      </c>
      <c r="L162" s="78" t="s">
        <v>376</v>
      </c>
    </row>
    <row r="163" spans="1:12" s="45" customFormat="1" ht="87.45" x14ac:dyDescent="0.4">
      <c r="A163" s="72"/>
      <c r="B163" s="71" t="s">
        <v>24</v>
      </c>
      <c r="C163" s="38" t="s">
        <v>465</v>
      </c>
      <c r="D163" s="67">
        <f>'[1]INPUTAN DESA 2026'!F538</f>
        <v>5</v>
      </c>
      <c r="E163" s="39" t="str">
        <f>IF(D163=1,"Tidak Teraliri Listrik",
IF(D163=2,"PJU Beroperasi &lt;6 Jam dalam 1 Hari",
IF(D163=4,"PJU Beroperasi 6-12 Jam dalam 1 Hari",
IF(D163=5,"PJU Beroperasi &gt;12 Jam dalam 1 Hari","Tidak Teridentifikasi"))))</f>
        <v>PJU Beroperasi &gt;12 Jam dalam 1 Hari</v>
      </c>
      <c r="F163" s="39" t="str">
        <f>IF(D163=5,"",IF(D163&lt;5,"Pengadaan Penerangan Jalan Umum EBT desa minimal &gt;12 Jam perhari di Desa","Tidak Teridentifikasi"))</f>
        <v/>
      </c>
      <c r="G163" s="40" t="s">
        <v>462</v>
      </c>
      <c r="H163" s="87" t="s">
        <v>466</v>
      </c>
      <c r="I163" s="88" t="s">
        <v>467</v>
      </c>
      <c r="J163" s="88" t="s">
        <v>456</v>
      </c>
      <c r="K163" s="78" t="s">
        <v>457</v>
      </c>
      <c r="L163" s="78" t="s">
        <v>376</v>
      </c>
    </row>
    <row r="164" spans="1:12" ht="30" customHeight="1" x14ac:dyDescent="0.4">
      <c r="A164" s="68" t="s">
        <v>468</v>
      </c>
      <c r="B164" s="69"/>
      <c r="C164" s="18" t="s">
        <v>469</v>
      </c>
      <c r="D164" s="19">
        <f>IFERROR((D165+D168+D171),"Tidak Teridentifikasi")</f>
        <v>30</v>
      </c>
      <c r="E164" s="20"/>
      <c r="F164" s="21"/>
      <c r="G164" s="55"/>
      <c r="H164" s="56"/>
      <c r="I164" s="56"/>
      <c r="J164" s="56"/>
      <c r="K164" s="57"/>
      <c r="L164" s="58"/>
    </row>
    <row r="165" spans="1:12" ht="30" customHeight="1" x14ac:dyDescent="0.4">
      <c r="A165" s="68">
        <v>41</v>
      </c>
      <c r="B165" s="69"/>
      <c r="C165" s="30" t="s">
        <v>470</v>
      </c>
      <c r="D165" s="19">
        <f>IFERROR((D166+D167),"Tidak Teridentifikasi")</f>
        <v>10</v>
      </c>
      <c r="E165" s="31"/>
      <c r="F165" s="32"/>
      <c r="G165" s="59"/>
      <c r="H165" s="60"/>
      <c r="I165" s="60"/>
      <c r="J165" s="60"/>
      <c r="K165" s="61"/>
      <c r="L165" s="62"/>
    </row>
    <row r="166" spans="1:12" s="45" customFormat="1" ht="72.900000000000006" x14ac:dyDescent="0.4">
      <c r="A166" s="72"/>
      <c r="B166" s="71" t="s">
        <v>16</v>
      </c>
      <c r="C166" s="86" t="s">
        <v>471</v>
      </c>
      <c r="D166" s="67">
        <f>'[1]INPUTAN DESA 2026'!F541</f>
        <v>5</v>
      </c>
      <c r="E166" s="67" t="str">
        <f>IF(D166=1,"Tidak Terdapat Angkutan Umum di Desa",
IF(D166=5,"Terdapat Angkutan Umum di Desa","Tidak Teridentifikasi"))</f>
        <v>Terdapat Angkutan Umum di Desa</v>
      </c>
      <c r="F166" s="39" t="str">
        <f>IF(D166=5,"",IF(D166&lt;5,"Pengadaan/Bantuan Operasional Angkutan Perdesaan/ Angkutan Lokal / Sejenis di Desa ","Tidak Teridentifikasi"))</f>
        <v/>
      </c>
      <c r="G166" s="40" t="s">
        <v>299</v>
      </c>
      <c r="H166" s="87" t="s">
        <v>472</v>
      </c>
      <c r="I166" s="88" t="s">
        <v>455</v>
      </c>
      <c r="J166" s="88" t="s">
        <v>456</v>
      </c>
      <c r="K166" s="78" t="s">
        <v>457</v>
      </c>
      <c r="L166" s="78" t="s">
        <v>376</v>
      </c>
    </row>
    <row r="167" spans="1:12" s="45" customFormat="1" ht="87.45" x14ac:dyDescent="0.4">
      <c r="A167" s="72"/>
      <c r="B167" s="71" t="s">
        <v>24</v>
      </c>
      <c r="C167" s="38" t="s">
        <v>473</v>
      </c>
      <c r="D167" s="67">
        <f>'[1]INPUTAN DESA 2026'!F542</f>
        <v>5</v>
      </c>
      <c r="E167" s="39" t="str">
        <f>IF(D167=1,"Tidak Ada Transportasi Umum yang Beroperasi di Desa",
IF(D167=2,"Transportasi Umum Beroperasi 1-3 Hari dalam, Seminggu",
IF(D167=4,"Transportasi Umum Beroperasi 4-6 Hari dalam, Seminggu",
IF(D167=5,"Transportasi Umum Beroperasi Setiap Hari dalam, Seminggu","Tidak Teridentifikasi"))))</f>
        <v>Transportasi Umum Beroperasi Setiap Hari dalam, Seminggu</v>
      </c>
      <c r="F167" s="39" t="str">
        <f>IF(D167=5,"",IF(D167&lt;5,"Mengoptimalkan operasional angkutan umum desa melalui penjadwalan, pemeliharaan dan dukungan layanan","Tidak Teridentifikasi"))</f>
        <v/>
      </c>
      <c r="G167" s="40" t="s">
        <v>299</v>
      </c>
      <c r="H167" s="87" t="s">
        <v>474</v>
      </c>
      <c r="I167" s="88" t="s">
        <v>455</v>
      </c>
      <c r="J167" s="88" t="s">
        <v>456</v>
      </c>
      <c r="K167" s="78" t="s">
        <v>457</v>
      </c>
      <c r="L167" s="78" t="s">
        <v>376</v>
      </c>
    </row>
    <row r="168" spans="1:12" ht="30" customHeight="1" x14ac:dyDescent="0.4">
      <c r="A168" s="68">
        <v>42</v>
      </c>
      <c r="B168" s="69"/>
      <c r="C168" s="48" t="s">
        <v>475</v>
      </c>
      <c r="D168" s="19">
        <f>IFERROR((D169+D170),"Tidak Teridentifikasi")</f>
        <v>10</v>
      </c>
      <c r="E168" s="49"/>
      <c r="F168" s="50"/>
      <c r="G168" s="51"/>
      <c r="H168" s="52"/>
      <c r="I168" s="52"/>
      <c r="J168" s="52"/>
      <c r="K168" s="53"/>
      <c r="L168" s="54"/>
    </row>
    <row r="169" spans="1:12" s="45" customFormat="1" ht="72.900000000000006" x14ac:dyDescent="0.4">
      <c r="A169" s="72"/>
      <c r="B169" s="71" t="s">
        <v>16</v>
      </c>
      <c r="C169" s="38" t="s">
        <v>476</v>
      </c>
      <c r="D169" s="39">
        <f>'[1]INPUTAN DESA 2026'!F567</f>
        <v>5</v>
      </c>
      <c r="E169" s="39" t="str">
        <f>IF(D169=1,"Tidak Tersedia Pelayanan Listrik untuk Rumah di Desa",
IF(D169=3,"Ada Sebagian Kecil (&lt;=50%)Tersedia pelayanan Listrik Untuk Rumah di Desa",
IF(D169=5,"Ada Sebagian Besar (&gt;50%)Tersedia pelayanan Listrik Untuk Rumah di Desa","Tidak Teridentifikasi")))</f>
        <v>Ada Sebagian Besar (&gt;50%)Tersedia pelayanan Listrik Untuk Rumah di Desa</v>
      </c>
      <c r="F169" s="39" t="str">
        <f>IF(D169=5,"",IF(D169&lt;5,"Pembangunan/Rehabilitasi, pemeliharaan/Peningkatan Sarana dan Prasarana Energi Alternatif tingkat Desa","Tidak Teridentifikasi"))</f>
        <v/>
      </c>
      <c r="G169" s="40" t="s">
        <v>371</v>
      </c>
      <c r="H169" s="87" t="s">
        <v>477</v>
      </c>
      <c r="I169" s="88" t="s">
        <v>478</v>
      </c>
      <c r="J169" s="88" t="s">
        <v>479</v>
      </c>
      <c r="K169" s="78" t="s">
        <v>457</v>
      </c>
      <c r="L169" s="78" t="s">
        <v>376</v>
      </c>
    </row>
    <row r="170" spans="1:12" s="45" customFormat="1" ht="87.45" x14ac:dyDescent="0.4">
      <c r="A170" s="72"/>
      <c r="B170" s="71" t="s">
        <v>24</v>
      </c>
      <c r="C170" s="38" t="s">
        <v>480</v>
      </c>
      <c r="D170" s="67">
        <f>'[1]INPUTAN DESA 2026'!F568</f>
        <v>5</v>
      </c>
      <c r="E170" s="39" t="str">
        <f>IF(D170=1,"Tidak Tersedia Layanan Listrik di Desa",
IF(D170=2,"Tersedia &lt;6 Jam Layanan Listrik di Desa",
IF(D170=4,"Tersedia 6-12 Jam Layanan Listrik di Desa",
IF(D170=5,"Tersedia &gt;12 Jam Layanan Listrik di Desa","Tidak Teridentifikasi"))))</f>
        <v>Tersedia &gt;12 Jam Layanan Listrik di Desa</v>
      </c>
      <c r="F170" s="39" t="str">
        <f>IF(D170=5,"",IF(D170&lt;5,"Peningkatan operasional layaanan listrik minimal &gt;12 Jam perhari di Desa","Tidak Teridentifikasi"))</f>
        <v/>
      </c>
      <c r="G170" s="40" t="s">
        <v>299</v>
      </c>
      <c r="H170" s="87" t="s">
        <v>481</v>
      </c>
      <c r="I170" s="88" t="s">
        <v>478</v>
      </c>
      <c r="J170" s="88" t="s">
        <v>479</v>
      </c>
      <c r="K170" s="78" t="s">
        <v>457</v>
      </c>
      <c r="L170" s="78" t="s">
        <v>376</v>
      </c>
    </row>
    <row r="171" spans="1:12" ht="30" customHeight="1" x14ac:dyDescent="0.4">
      <c r="A171" s="68">
        <v>43</v>
      </c>
      <c r="B171" s="69"/>
      <c r="C171" s="48" t="s">
        <v>482</v>
      </c>
      <c r="D171" s="19">
        <f>IFERROR((D172+D173),"Tidak Teridentifikasi")</f>
        <v>10</v>
      </c>
      <c r="E171" s="49"/>
      <c r="F171" s="50"/>
      <c r="G171" s="51"/>
      <c r="H171" s="52"/>
      <c r="I171" s="52"/>
      <c r="J171" s="52"/>
      <c r="K171" s="53"/>
      <c r="L171" s="54"/>
    </row>
    <row r="172" spans="1:12" s="45" customFormat="1" ht="87.45" x14ac:dyDescent="0.4">
      <c r="A172" s="73"/>
      <c r="B172" s="71" t="s">
        <v>16</v>
      </c>
      <c r="C172" s="38" t="s">
        <v>483</v>
      </c>
      <c r="D172" s="67">
        <f>'[1]INPUTAN DESA 2026'!F570</f>
        <v>5</v>
      </c>
      <c r="E172" s="67" t="str">
        <f>IF(D172=1,"Tidak Tersedia Akses Sinyal Telepon di Wilayah Desa",
IF(D172=3,"Tersedia Akses Sinyal Telepon Lemah",
IF(D172=5,"Tersedia Akses Sinyal Telepon Kuat","Tidak Teridentifikasi")))</f>
        <v>Tersedia Akses Sinyal Telepon Kuat</v>
      </c>
      <c r="F172" s="39" t="str">
        <f>IF(D172=5,"",IF(D172&lt;5,"Peningkatan Akses Sinyal Telepon di Sebagian Besar Wilayah Desa","Tidak Teridentifikasi"))</f>
        <v/>
      </c>
      <c r="G172" s="40" t="s">
        <v>299</v>
      </c>
      <c r="H172" s="87" t="s">
        <v>484</v>
      </c>
      <c r="I172" s="88" t="s">
        <v>485</v>
      </c>
      <c r="J172" s="88" t="s">
        <v>486</v>
      </c>
      <c r="K172" s="78" t="s">
        <v>457</v>
      </c>
      <c r="L172" s="78" t="s">
        <v>376</v>
      </c>
    </row>
    <row r="173" spans="1:12" s="45" customFormat="1" ht="87.45" x14ac:dyDescent="0.4">
      <c r="A173" s="72"/>
      <c r="B173" s="71" t="s">
        <v>24</v>
      </c>
      <c r="C173" s="38" t="s">
        <v>487</v>
      </c>
      <c r="D173" s="67">
        <f>'[1]INPUTAN DESA 2026'!F571</f>
        <v>5</v>
      </c>
      <c r="E173" s="39" t="str">
        <f>IF(D173=1,"Tidak Tersedia Akses Sinyal Internet di Wilayah Desa",
IF(D173=2,"Terdapat Akses Sinyal 2G dan Lainnya di Wilayah Desa",
IF(D173=4,"Terdapat Akses Sinyal 3G di Wilayah Desa",
IF(D173=5,"Terdapat Akses Sinyal 5G dan 4G di Wilayah Desa","Tidak Teridentifikasi"))))</f>
        <v>Terdapat Akses Sinyal 5G dan 4G di Wilayah Desa</v>
      </c>
      <c r="F173" s="39" t="str">
        <f>IF(D173=5,"",IF(D173&lt;5,"Peningkatan Ketersediaan Akses Sinyal Internet di Sebagian Wilayah Desa","Tidak Teridentifikasi"))</f>
        <v/>
      </c>
      <c r="G173" s="40" t="s">
        <v>488</v>
      </c>
      <c r="H173" s="87" t="s">
        <v>489</v>
      </c>
      <c r="I173" s="88" t="s">
        <v>490</v>
      </c>
      <c r="J173" s="88" t="s">
        <v>491</v>
      </c>
      <c r="K173" s="78" t="s">
        <v>457</v>
      </c>
      <c r="L173" s="78" t="s">
        <v>376</v>
      </c>
    </row>
    <row r="174" spans="1:12" ht="30" customHeight="1" x14ac:dyDescent="0.4">
      <c r="A174" s="68">
        <v>6</v>
      </c>
      <c r="B174" s="69"/>
      <c r="C174" s="18" t="s">
        <v>492</v>
      </c>
      <c r="D174" s="19">
        <f>IFERROR((D175+D186),"Tidak Teridentifikasi")</f>
        <v>73</v>
      </c>
      <c r="E174" s="20"/>
      <c r="F174" s="21"/>
      <c r="G174" s="55"/>
      <c r="H174" s="56"/>
      <c r="I174" s="56"/>
      <c r="J174" s="56"/>
      <c r="K174" s="57"/>
      <c r="L174" s="58"/>
    </row>
    <row r="175" spans="1:12" ht="30" customHeight="1" x14ac:dyDescent="0.4">
      <c r="A175" s="68" t="s">
        <v>493</v>
      </c>
      <c r="B175" s="69"/>
      <c r="C175" s="18" t="s">
        <v>494</v>
      </c>
      <c r="D175" s="19">
        <f>IFERROR((D176+D178+D183),"Tidak Teridentifikasi")</f>
        <v>33</v>
      </c>
      <c r="E175" s="25"/>
      <c r="F175" s="26"/>
      <c r="G175" s="79"/>
      <c r="H175" s="80"/>
      <c r="I175" s="80"/>
      <c r="J175" s="80"/>
      <c r="K175" s="81"/>
      <c r="L175" s="81"/>
    </row>
    <row r="176" spans="1:12" ht="30" customHeight="1" x14ac:dyDescent="0.4">
      <c r="A176" s="68">
        <v>44</v>
      </c>
      <c r="B176" s="69"/>
      <c r="C176" s="48" t="s">
        <v>495</v>
      </c>
      <c r="D176" s="19">
        <f>D177</f>
        <v>3</v>
      </c>
      <c r="E176" s="31"/>
      <c r="F176" s="32"/>
      <c r="G176" s="59"/>
      <c r="H176" s="60"/>
      <c r="I176" s="60"/>
      <c r="J176" s="60"/>
      <c r="K176" s="61"/>
      <c r="L176" s="61"/>
    </row>
    <row r="177" spans="1:12" s="45" customFormat="1" ht="72.900000000000006" x14ac:dyDescent="0.4">
      <c r="A177" s="70"/>
      <c r="B177" s="71" t="s">
        <v>16</v>
      </c>
      <c r="C177" s="38" t="s">
        <v>496</v>
      </c>
      <c r="D177" s="67">
        <f>'[1]INPUTAN DESA 2026'!F50</f>
        <v>3</v>
      </c>
      <c r="E177" s="67" t="str">
        <f>IF(D177=1,"Pelaksanaan Pelayanan dan Administrasi diberikan Kurang dari Hari Kerja",
IF(D177=3,"Pelaksanaan Pelayanan dan Administrasi diberikan Hanya di Hari Kerja",
IF(D177=5,"Pelaksanaan Pelayanan dan Administrasi diberikan Setiap Hari","Tidak Teridentifikasi")))</f>
        <v>Pelaksanaan Pelayanan dan Administrasi diberikan Hanya di Hari Kerja</v>
      </c>
      <c r="F177" s="39" t="str">
        <f>IF(D177=5,"",IF(D177&lt;5,"Peningkatan Pelaksanaan Layanan dan Administrasi Desa dilakukan Setiap Hari"))</f>
        <v>Peningkatan Pelaksanaan Layanan dan Administrasi Desa dilakukan Setiap Hari</v>
      </c>
      <c r="G177" s="40" t="s">
        <v>497</v>
      </c>
      <c r="H177" s="87" t="s">
        <v>498</v>
      </c>
      <c r="I177" s="88" t="s">
        <v>499</v>
      </c>
      <c r="J177" s="88" t="s">
        <v>500</v>
      </c>
      <c r="K177" s="78" t="s">
        <v>501</v>
      </c>
      <c r="L177" s="78" t="s">
        <v>502</v>
      </c>
    </row>
    <row r="178" spans="1:12" ht="30" customHeight="1" x14ac:dyDescent="0.4">
      <c r="A178" s="68">
        <v>45</v>
      </c>
      <c r="B178" s="69"/>
      <c r="C178" s="30" t="s">
        <v>503</v>
      </c>
      <c r="D178" s="74">
        <f>IFERROR((D179+D180+D181+D182),"Tidak Teridentifikasi")</f>
        <v>20</v>
      </c>
      <c r="E178" s="75"/>
      <c r="F178" s="76"/>
      <c r="G178" s="102"/>
      <c r="H178" s="52"/>
      <c r="I178" s="52"/>
      <c r="J178" s="52"/>
      <c r="K178" s="53"/>
      <c r="L178" s="53"/>
    </row>
    <row r="179" spans="1:12" s="45" customFormat="1" ht="72.900000000000006" x14ac:dyDescent="0.4">
      <c r="A179" s="72"/>
      <c r="B179" s="71" t="s">
        <v>16</v>
      </c>
      <c r="C179" s="38" t="s">
        <v>504</v>
      </c>
      <c r="D179" s="67">
        <f>'[1]INPUTAN DESA 2026'!F99</f>
        <v>5</v>
      </c>
      <c r="E179" s="67" t="str">
        <f>IF(D179=1,"Belum Dilaksanakan Publikasi Informasi Pelayanan Kepada Masyarakat Desa",
IF(D179=5,"Sudah Dilaksanakan Publikasi Informasi Pelayanan Kepada Masyarakat Desa","Tidak Teridentifikasi"))</f>
        <v>Sudah Dilaksanakan Publikasi Informasi Pelayanan Kepada Masyarakat Desa</v>
      </c>
      <c r="F179" s="39" t="str">
        <f>IF(D179=5,"",IF(D179&lt;5,"Pengembangan Sistem Informasi Desa dan Publikasi Informasi Pelayanan Kepada masyarakat Desa","Tidak Teridentifikasi"))</f>
        <v/>
      </c>
      <c r="G179" s="40" t="s">
        <v>505</v>
      </c>
      <c r="H179" s="87" t="s">
        <v>506</v>
      </c>
      <c r="I179" s="88" t="s">
        <v>507</v>
      </c>
      <c r="J179" s="88" t="s">
        <v>500</v>
      </c>
      <c r="K179" s="78" t="s">
        <v>457</v>
      </c>
      <c r="L179" s="78" t="s">
        <v>376</v>
      </c>
    </row>
    <row r="180" spans="1:12" s="45" customFormat="1" ht="72.900000000000006" x14ac:dyDescent="0.4">
      <c r="A180" s="72"/>
      <c r="B180" s="71" t="s">
        <v>24</v>
      </c>
      <c r="C180" s="38" t="s">
        <v>508</v>
      </c>
      <c r="D180" s="67">
        <f>'[1]INPUTAN DESA 2026'!F100</f>
        <v>5</v>
      </c>
      <c r="E180" s="67" t="str">
        <f>IF(D180=1,"Belum Dilaksanakan Pelayanan Administrasi untuk Masyarakat Desa",
IF(D180=5,"Sudah Dilaksanakan Pelayanan Administrasi untuk Masyarakat Desa","Tidak Teridentifikasi"))</f>
        <v>Sudah Dilaksanakan Pelayanan Administrasi untuk Masyarakat Desa</v>
      </c>
      <c r="F180" s="39" t="str">
        <f>IF(D180=5,"",IF(D180&lt;5,"Peningkatan Pelayanan Admisitrasi untuk masyarakat Desa","Tidak Teridentifikasi"))</f>
        <v/>
      </c>
      <c r="G180" s="40" t="s">
        <v>509</v>
      </c>
      <c r="H180" s="87" t="s">
        <v>510</v>
      </c>
      <c r="I180" s="88" t="s">
        <v>507</v>
      </c>
      <c r="J180" s="88" t="s">
        <v>511</v>
      </c>
      <c r="K180" s="78" t="s">
        <v>501</v>
      </c>
      <c r="L180" s="78" t="s">
        <v>502</v>
      </c>
    </row>
    <row r="181" spans="1:12" s="45" customFormat="1" ht="72.900000000000006" x14ac:dyDescent="0.4">
      <c r="A181" s="72"/>
      <c r="B181" s="71" t="s">
        <v>27</v>
      </c>
      <c r="C181" s="38" t="s">
        <v>512</v>
      </c>
      <c r="D181" s="67">
        <f>'[1]INPUTAN DESA 2026'!F101</f>
        <v>5</v>
      </c>
      <c r="E181" s="67" t="str">
        <f>IF(D181=1,"Belum Dilaksanakan Pelayanan Pengaduan untuk Masyarakat Desa",
IF(D181=5,"Sudah Dilaksanakan Pelayanan Pengaduan untuk Masyarakat Desa","Tidak Teridentifikasi"))</f>
        <v>Sudah Dilaksanakan Pelayanan Pengaduan untuk Masyarakat Desa</v>
      </c>
      <c r="F181" s="39" t="str">
        <f>IF(D181=5,"",IF(D181&lt;5,"Sosialisasi Media layanan Pengaduan dan Peningkatan kualitas Layanan untuk masyarakat Desa","Tidak Teridentifikasi"))</f>
        <v/>
      </c>
      <c r="G181" s="40" t="s">
        <v>513</v>
      </c>
      <c r="H181" s="87" t="s">
        <v>514</v>
      </c>
      <c r="I181" s="88" t="s">
        <v>507</v>
      </c>
      <c r="J181" s="88" t="s">
        <v>500</v>
      </c>
      <c r="K181" s="78" t="s">
        <v>501</v>
      </c>
      <c r="L181" s="78" t="s">
        <v>502</v>
      </c>
    </row>
    <row r="182" spans="1:12" s="45" customFormat="1" ht="72.900000000000006" x14ac:dyDescent="0.4">
      <c r="A182" s="72"/>
      <c r="B182" s="71" t="s">
        <v>65</v>
      </c>
      <c r="C182" s="38" t="s">
        <v>515</v>
      </c>
      <c r="D182" s="67">
        <f>'[1]INPUTAN DESA 2026'!F102</f>
        <v>5</v>
      </c>
      <c r="E182" s="67" t="str">
        <f>IF(D182=1,"Belum Dilaksanakan Pelayanan Lainnya untuk Masyarakat Desa",
IF(D182=5,"Sudah Dilaksanakan Pelayanan Lainnya untuk Masyarakat Desa","Tidak Teridentifikasi"))</f>
        <v>Sudah Dilaksanakan Pelayanan Lainnya untuk Masyarakat Desa</v>
      </c>
      <c r="F182" s="39" t="str">
        <f>IF(D182=5,"",IF(D182&lt;5,"Sosialisasi Jenis Layanan dan Peningkatan Layanan masyarakat Desa","Tidak Teridentifikasi"))</f>
        <v/>
      </c>
      <c r="G182" s="40" t="s">
        <v>516</v>
      </c>
      <c r="H182" s="87" t="s">
        <v>517</v>
      </c>
      <c r="I182" s="88" t="s">
        <v>518</v>
      </c>
      <c r="J182" s="88" t="s">
        <v>519</v>
      </c>
      <c r="K182" s="78" t="s">
        <v>501</v>
      </c>
      <c r="L182" s="78" t="s">
        <v>502</v>
      </c>
    </row>
    <row r="183" spans="1:12" ht="30" customHeight="1" x14ac:dyDescent="0.4">
      <c r="A183" s="68">
        <v>46</v>
      </c>
      <c r="B183" s="69"/>
      <c r="C183" s="48" t="s">
        <v>520</v>
      </c>
      <c r="D183" s="19">
        <f>IFERROR((D184+D185),"Tidak Teridentifikasi")</f>
        <v>10</v>
      </c>
      <c r="E183" s="49"/>
      <c r="F183" s="50"/>
      <c r="G183" s="51"/>
      <c r="H183" s="52"/>
      <c r="I183" s="52"/>
      <c r="J183" s="52"/>
      <c r="K183" s="53"/>
      <c r="L183" s="53"/>
    </row>
    <row r="184" spans="1:12" s="45" customFormat="1" ht="58.3" x14ac:dyDescent="0.4">
      <c r="A184" s="72"/>
      <c r="B184" s="71" t="s">
        <v>16</v>
      </c>
      <c r="C184" s="38" t="s">
        <v>521</v>
      </c>
      <c r="D184" s="67">
        <f>'[1]INPUTAN DESA 2026'!F105</f>
        <v>5</v>
      </c>
      <c r="E184" s="39" t="str">
        <f>IF(D184=1,"Musdes Terlaksana 0-2 Kali dalam Setahun Terakhir",
IF(D184=2,"Musdes Terlaksana 3-4 Kali dalam Setahun Terakhir",
IF(D184=3,"Musdes Terlaksana 5-6 Kali dalam Setahun Terakhir",
IF(D184=4,"Musdes Terlaksana 7-9 Kali dalam Setahun Terakhir",
IF(D184=5,"Musdes Terlaksana &gt;=10 Kali dalam Setahun Terakhir","Tidak Teridentifikasi")))))</f>
        <v>Musdes Terlaksana &gt;=10 Kali dalam Setahun Terakhir</v>
      </c>
      <c r="F184" s="39" t="str">
        <f>IF(D184=5,"",IF(D184&lt;5,"Penjadwalan Musyawarah Desa berdasarkan Siklus Perencanaan dan Penganggaran Desa dan musyawarah desa lainnya sesuai kebutuhan","Tidak Teridentifikasi"))</f>
        <v/>
      </c>
      <c r="G184" s="40" t="s">
        <v>522</v>
      </c>
      <c r="H184" s="87" t="s">
        <v>523</v>
      </c>
      <c r="I184" s="88" t="s">
        <v>524</v>
      </c>
      <c r="J184" s="88" t="s">
        <v>525</v>
      </c>
      <c r="K184" s="78" t="s">
        <v>501</v>
      </c>
      <c r="L184" s="78" t="s">
        <v>526</v>
      </c>
    </row>
    <row r="185" spans="1:12" s="45" customFormat="1" ht="58.3" x14ac:dyDescent="0.4">
      <c r="A185" s="72"/>
      <c r="B185" s="71" t="s">
        <v>24</v>
      </c>
      <c r="C185" s="38" t="s">
        <v>527</v>
      </c>
      <c r="D185" s="67">
        <f>'[1]INPUTAN DESA 2026'!F109</f>
        <v>5</v>
      </c>
      <c r="E185" s="67" t="str">
        <f>IF(D185=1,"Musdes Tidak Dihadiri oleh Unsur Masyarakat atau Unsur Masyarakat Lainnya",
IF(D185=5,"Musdes Dihadiri oleh Unsur Masyarakat atau Unsur Masyarakat Lainnya","Tidak Teridentifikasi"))</f>
        <v>Musdes Dihadiri oleh Unsur Masyarakat atau Unsur Masyarakat Lainnya</v>
      </c>
      <c r="F185" s="39" t="str">
        <f>IF(D185=5,"",IF(D185&lt;5,"Pelaksanaan Musdes Perlu dihadiri oleh Unsur Masyarakat atau unsur Masyarakat Lainnya","Tidak Teridentifikasi"))</f>
        <v/>
      </c>
      <c r="G185" s="40" t="s">
        <v>522</v>
      </c>
      <c r="H185" s="87" t="s">
        <v>523</v>
      </c>
      <c r="I185" s="88" t="s">
        <v>528</v>
      </c>
      <c r="J185" s="88" t="s">
        <v>529</v>
      </c>
      <c r="K185" s="78" t="s">
        <v>501</v>
      </c>
      <c r="L185" s="78" t="s">
        <v>526</v>
      </c>
    </row>
    <row r="186" spans="1:12" ht="30" customHeight="1" x14ac:dyDescent="0.4">
      <c r="A186" s="68" t="s">
        <v>530</v>
      </c>
      <c r="B186" s="69"/>
      <c r="C186" s="18" t="s">
        <v>531</v>
      </c>
      <c r="D186" s="19">
        <f>IFERROR((D187+D191),"Tidak Teridentifikasi")</f>
        <v>40</v>
      </c>
      <c r="E186" s="103"/>
      <c r="F186" s="104"/>
      <c r="G186" s="55"/>
      <c r="H186" s="56"/>
      <c r="I186" s="56"/>
      <c r="J186" s="56"/>
      <c r="K186" s="57"/>
      <c r="L186" s="57"/>
    </row>
    <row r="187" spans="1:12" ht="30" customHeight="1" x14ac:dyDescent="0.4">
      <c r="A187" s="68">
        <v>47</v>
      </c>
      <c r="B187" s="69"/>
      <c r="C187" s="48" t="s">
        <v>532</v>
      </c>
      <c r="D187" s="19">
        <f>IFERROR((D188+D189+D190),"Tidak Teridentifikasi")</f>
        <v>15</v>
      </c>
      <c r="E187" s="31"/>
      <c r="F187" s="32"/>
      <c r="G187" s="59"/>
      <c r="H187" s="60"/>
      <c r="I187" s="60"/>
      <c r="J187" s="60"/>
      <c r="K187" s="61"/>
      <c r="L187" s="61"/>
    </row>
    <row r="188" spans="1:12" s="45" customFormat="1" ht="72.900000000000006" x14ac:dyDescent="0.4">
      <c r="A188" s="46"/>
      <c r="B188" s="37" t="s">
        <v>16</v>
      </c>
      <c r="C188" s="38" t="s">
        <v>533</v>
      </c>
      <c r="D188" s="67">
        <f>'[1]INPUTAN DESA 2026'!F136</f>
        <v>5</v>
      </c>
      <c r="E188" s="67" t="str">
        <f>IF(D188=1,"Tidak Terdapat Pendapan Asli Desa (PADes)",
IF(D188=5,"Terdapat Pendapan Asli Desa (PADes)","Tidak Teridentifikasi"))</f>
        <v>Terdapat Pendapan Asli Desa (PADes)</v>
      </c>
      <c r="F188" s="39" t="str">
        <f>IF(D188=5,"",IF(D188&lt;5,"Optimalisasi Aset dan menggali Potensi yang ada di Desa","Tidak Teridentifikasi"))</f>
        <v/>
      </c>
      <c r="G188" s="40"/>
      <c r="H188" s="87" t="s">
        <v>534</v>
      </c>
      <c r="I188" s="88" t="s">
        <v>535</v>
      </c>
      <c r="J188" s="88" t="s">
        <v>536</v>
      </c>
      <c r="K188" s="78" t="s">
        <v>390</v>
      </c>
      <c r="L188" s="78" t="s">
        <v>376</v>
      </c>
    </row>
    <row r="189" spans="1:12" s="45" customFormat="1" ht="102" x14ac:dyDescent="0.4">
      <c r="A189" s="46"/>
      <c r="B189" s="37" t="s">
        <v>24</v>
      </c>
      <c r="C189" s="38" t="s">
        <v>537</v>
      </c>
      <c r="D189" s="105">
        <f>'[1]INPUTAN DESA 2026'!F144</f>
        <v>5</v>
      </c>
      <c r="E189" s="39" t="str">
        <f>IF(D189=1,"PADes Turun",
IF(D189=2,"PADes Tetap",
IF(D189=4,"PADes Meningkat 0-1%",
IF(D189=5,"PADes Meningkat &gt;1%","Tidak Teridentifikasi"))))</f>
        <v>PADes Meningkat &gt;1%</v>
      </c>
      <c r="F189" s="39" t="str">
        <f>IF(D189=5,"",IF(D189&lt;5,"Optimalisasi Aset dan menggali Potensi yang ada di Desa","Tidak Teridentifikasi"))</f>
        <v/>
      </c>
      <c r="G189" s="40"/>
      <c r="H189" s="87" t="s">
        <v>538</v>
      </c>
      <c r="I189" s="88" t="s">
        <v>535</v>
      </c>
      <c r="J189" s="88" t="s">
        <v>536</v>
      </c>
      <c r="K189" s="78" t="s">
        <v>390</v>
      </c>
      <c r="L189" s="78" t="s">
        <v>376</v>
      </c>
    </row>
    <row r="190" spans="1:12" s="45" customFormat="1" ht="72.900000000000006" x14ac:dyDescent="0.4">
      <c r="A190" s="72"/>
      <c r="B190" s="37" t="s">
        <v>27</v>
      </c>
      <c r="C190" s="38" t="s">
        <v>539</v>
      </c>
      <c r="D190" s="67">
        <f>'[1]INPUTAN DESA 2026'!F145</f>
        <v>5</v>
      </c>
      <c r="E190" s="67" t="str">
        <f>IF(D190=1,"Tidak dilakukan Penyertaan Modal dari Dana Desa Kepada BUMDes",
IF(D190=5,"Adanya Penyertaan Modal dari Dana Desa Kepada BUMDes","Tidak Teridentifikasi"))</f>
        <v>Adanya Penyertaan Modal dari Dana Desa Kepada BUMDes</v>
      </c>
      <c r="F190" s="39" t="str">
        <f>IF(D190=5,"",IF(D190&lt;5,"Identifikasi Potensi dan Pernyertaan Modal dari Dana Desa Kepada Bumdesa","Tidak Teridentifikasi"))</f>
        <v/>
      </c>
      <c r="G190" s="40" t="s">
        <v>308</v>
      </c>
      <c r="H190" s="87" t="s">
        <v>540</v>
      </c>
      <c r="I190" s="88" t="s">
        <v>541</v>
      </c>
      <c r="J190" s="88" t="s">
        <v>542</v>
      </c>
      <c r="K190" s="78" t="s">
        <v>390</v>
      </c>
      <c r="L190" s="78" t="s">
        <v>376</v>
      </c>
    </row>
    <row r="191" spans="1:12" ht="30" customHeight="1" x14ac:dyDescent="0.4">
      <c r="A191" s="68">
        <v>48</v>
      </c>
      <c r="B191" s="69"/>
      <c r="C191" s="48" t="s">
        <v>543</v>
      </c>
      <c r="D191" s="74">
        <f>IFERROR((D192+D193+D194+D195+D196+D197),"Tidak Teridentifikasi")</f>
        <v>25</v>
      </c>
      <c r="E191" s="75"/>
      <c r="F191" s="76"/>
      <c r="G191" s="102"/>
      <c r="H191" s="52"/>
      <c r="I191" s="52"/>
      <c r="J191" s="52"/>
      <c r="K191" s="53"/>
      <c r="L191" s="53"/>
    </row>
    <row r="192" spans="1:12" s="45" customFormat="1" ht="72.900000000000006" x14ac:dyDescent="0.4">
      <c r="A192" s="72"/>
      <c r="B192" s="71" t="s">
        <v>16</v>
      </c>
      <c r="C192" s="38" t="s">
        <v>544</v>
      </c>
      <c r="D192" s="67">
        <f>'[1]INPUTAN DESA 2026'!F151</f>
        <v>5</v>
      </c>
      <c r="E192" s="67" t="str">
        <f>IF(D192=1,"Tidak Memilki Aset Tanah Desa",
IF(D192=3,"Terdapat Aset Tanah Desa, Namun Tidak Produktif untuk Kepentingan Masyarakat",
IF(D192=5,"Terdapat Aset Tanah Desa, Namun Produktif untuk Kepentingan Masyarakat","Tidak Teridentifikasi")))</f>
        <v>Terdapat Aset Tanah Desa, Namun Produktif untuk Kepentingan Masyarakat</v>
      </c>
      <c r="F192" s="39" t="str">
        <f>IF(D192=5,"",IF(D192&lt;5,"Identifikasi Potensi dan pemanfaatan Aset tanah desa","Tidak Teridentifikasi"))</f>
        <v/>
      </c>
      <c r="G192" s="40" t="s">
        <v>545</v>
      </c>
      <c r="H192" s="87" t="s">
        <v>546</v>
      </c>
      <c r="I192" s="88" t="s">
        <v>547</v>
      </c>
      <c r="J192" s="88" t="s">
        <v>548</v>
      </c>
      <c r="K192" s="78" t="s">
        <v>390</v>
      </c>
      <c r="L192" s="78" t="s">
        <v>376</v>
      </c>
    </row>
    <row r="193" spans="1:12" s="45" customFormat="1" ht="72.900000000000006" x14ac:dyDescent="0.4">
      <c r="A193" s="72"/>
      <c r="B193" s="71" t="s">
        <v>24</v>
      </c>
      <c r="C193" s="38" t="s">
        <v>549</v>
      </c>
      <c r="D193" s="67">
        <f>'[1]INPUTAN DESA 2026'!F152</f>
        <v>5</v>
      </c>
      <c r="E193" s="67" t="str">
        <f>IF(D193=1,"Tidak Memilki Aset Kantor Desa",
IF(D193=3,"Terdapat Aset Kantor Desa, Namun Tidak Produktif untuk Kepentingan Masyarakat",
IF(D193=5,"Terdapat Aset Kantor Desa, Namun Produktif untuk Kepentingan Masyarakat","Tidak Teridentifikasi")))</f>
        <v>Terdapat Aset Kantor Desa, Namun Produktif untuk Kepentingan Masyarakat</v>
      </c>
      <c r="F193" s="39" t="str">
        <f>IF(D193=5,"",IF(D193&lt;5,"Identifikasi Potensi Desa, Peningkatan Usaha BUMDes/BUMDesma untuk Memiliki Aset Kantor Desa","Tidak Teridentifikasi"))</f>
        <v/>
      </c>
      <c r="G193" s="40" t="s">
        <v>550</v>
      </c>
      <c r="H193" s="87" t="s">
        <v>551</v>
      </c>
      <c r="I193" s="88" t="s">
        <v>547</v>
      </c>
      <c r="J193" s="88" t="s">
        <v>552</v>
      </c>
      <c r="K193" s="78" t="s">
        <v>553</v>
      </c>
      <c r="L193" s="78" t="s">
        <v>502</v>
      </c>
    </row>
    <row r="194" spans="1:12" s="45" customFormat="1" ht="87.45" x14ac:dyDescent="0.4">
      <c r="A194" s="72"/>
      <c r="B194" s="71" t="s">
        <v>27</v>
      </c>
      <c r="C194" s="38" t="s">
        <v>554</v>
      </c>
      <c r="D194" s="67">
        <f>'[1]INPUTAN DESA 2026'!F153</f>
        <v>1</v>
      </c>
      <c r="E194" s="67" t="str">
        <f>IF(D194=1,"Tidak Memilki Aset Pasar Desa",
IF(D194=3,"Terdapat Aset Pasar Desa, Namun Tidak Produktif untuk Kepentingan Masyarakat",
IF(D194=5,"Terdapat Aset Pasar Desa, Namun Produktif untuk Kepentingan Masyarakat","Tidak Teridentifikasi")))</f>
        <v>Tidak Memilki Aset Pasar Desa</v>
      </c>
      <c r="F194" s="39" t="str">
        <f>IF(D194=5,"",IF(D194&lt;5,"Meningkatkan pendapatan asli desa untuk memiliki aset pasar desa","Tidak Teridentifikasi"))</f>
        <v>Meningkatkan pendapatan asli desa untuk memiliki aset pasar desa</v>
      </c>
      <c r="G194" s="40" t="s">
        <v>550</v>
      </c>
      <c r="H194" s="87" t="s">
        <v>555</v>
      </c>
      <c r="I194" s="88" t="s">
        <v>541</v>
      </c>
      <c r="J194" s="88" t="s">
        <v>556</v>
      </c>
      <c r="K194" s="78" t="s">
        <v>553</v>
      </c>
      <c r="L194" s="78" t="s">
        <v>376</v>
      </c>
    </row>
    <row r="195" spans="1:12" s="45" customFormat="1" ht="87.45" x14ac:dyDescent="0.4">
      <c r="A195" s="72"/>
      <c r="B195" s="71" t="s">
        <v>65</v>
      </c>
      <c r="C195" s="38" t="s">
        <v>557</v>
      </c>
      <c r="D195" s="67">
        <f>'[1]INPUTAN DESA 2026'!F154</f>
        <v>5</v>
      </c>
      <c r="E195" s="67" t="str">
        <f>IF(D195=1,"Tidak Memilki Aset Desa Lainnya",
IF(D195=3,"Terdapat Aset Desa Lainnya, Namun Tidak Produktif untuk Kepentingan Masyarakat",
IF(D195=5,"Terdapat Desa Lainnya, Namun Produktif untuk Kepentingan Masyarakat","Tidak Teridentifikasi")))</f>
        <v>Terdapat Desa Lainnya, Namun Produktif untuk Kepentingan Masyarakat</v>
      </c>
      <c r="F195" s="39" t="str">
        <f>IF(D195=5,"",IF(D195&lt;5,"Meningkatkan pendapatan asli desa untuk memiliki aset lainnya","Tidak Teridentifikasi"))</f>
        <v/>
      </c>
      <c r="G195" s="40" t="s">
        <v>550</v>
      </c>
      <c r="H195" s="87" t="s">
        <v>558</v>
      </c>
      <c r="I195" s="88" t="s">
        <v>559</v>
      </c>
      <c r="J195" s="88" t="s">
        <v>556</v>
      </c>
      <c r="K195" s="78" t="s">
        <v>553</v>
      </c>
      <c r="L195" s="78" t="s">
        <v>376</v>
      </c>
    </row>
    <row r="196" spans="1:12" s="45" customFormat="1" ht="87.45" x14ac:dyDescent="0.4">
      <c r="A196" s="72"/>
      <c r="B196" s="71" t="s">
        <v>149</v>
      </c>
      <c r="C196" s="38" t="s">
        <v>560</v>
      </c>
      <c r="D196" s="105">
        <f>'[1]INPUTAN DESA 2026'!F155</f>
        <v>4</v>
      </c>
      <c r="E196" s="39" t="str">
        <f>IF(D196=1,"Aset Desa yang Dimiliki Produktif untuk Kepentingan Masyarakat 0-20%",
IF(D196=2,"Aset Desa yang Dimiliki Produktif untuk Kepentingan Masyarakat &gt;20-40%",
IF(D196=3,"Aset Desa yang Dimiliki Produktif untuk Kepentingan Masyarakat &gt;40-60%",
IF(D196=4,"Aset Desa yang Dimiliki Produktif untuk Kepentingan Masyarakat &gt;60-80%",
IF(D196=5,"Aset Desa yang Dimiliki Produktif untuk Kepentingan Masyarakat &gt;80-100%","Tidak Teridentifikasi")))))</f>
        <v>Aset Desa yang Dimiliki Produktif untuk Kepentingan Masyarakat &gt;60-80%</v>
      </c>
      <c r="F196" s="39" t="str">
        <f>IF(D196=5,"",IF(D196&lt;5,"Peningkatan, pemanfaatan Aset Desa yang Produktif untuk Kepentingan Masyarakat","Tidak Teridentifikasi"))</f>
        <v>Peningkatan, pemanfaatan Aset Desa yang Produktif untuk Kepentingan Masyarakat</v>
      </c>
      <c r="G196" s="40" t="s">
        <v>550</v>
      </c>
      <c r="H196" s="87" t="s">
        <v>561</v>
      </c>
      <c r="I196" s="88" t="s">
        <v>562</v>
      </c>
      <c r="J196" s="88" t="s">
        <v>563</v>
      </c>
      <c r="K196" s="78" t="s">
        <v>553</v>
      </c>
      <c r="L196" s="78" t="s">
        <v>376</v>
      </c>
    </row>
    <row r="197" spans="1:12" s="45" customFormat="1" ht="87.45" x14ac:dyDescent="0.4">
      <c r="A197" s="72"/>
      <c r="B197" s="71" t="s">
        <v>323</v>
      </c>
      <c r="C197" s="38" t="s">
        <v>564</v>
      </c>
      <c r="D197" s="67">
        <f>'[1]INPUTAN DESA 2026'!F156</f>
        <v>5</v>
      </c>
      <c r="E197" s="67" t="str">
        <f>IF(D197=1,"Belum Dilakukan Inventaris Aset Desa",
IF(D197=5,"Sudah Dilakukan Inventarisasi Aset Desa","Tidak Teridentifikasi"))</f>
        <v>Sudah Dilakukan Inventarisasi Aset Desa</v>
      </c>
      <c r="F197" s="39" t="str">
        <f>IF(D197=5,"",IF(D197&lt;5,"Identifikasi dan Inventarisasi Aset Desa","Tidak Teridentifikasi"))</f>
        <v/>
      </c>
      <c r="G197" s="40" t="s">
        <v>550</v>
      </c>
      <c r="H197" s="87" t="s">
        <v>565</v>
      </c>
      <c r="I197" s="88" t="s">
        <v>566</v>
      </c>
      <c r="J197" s="88" t="s">
        <v>567</v>
      </c>
      <c r="K197" s="78"/>
      <c r="L197" s="78"/>
    </row>
    <row r="198" spans="1:12" s="45" customFormat="1" ht="30" customHeight="1" x14ac:dyDescent="0.4">
      <c r="A198" s="106"/>
      <c r="B198" s="106"/>
      <c r="C198" s="107"/>
      <c r="D198" s="108"/>
      <c r="E198" s="108"/>
      <c r="F198" s="109"/>
      <c r="G198" s="110"/>
      <c r="H198" s="111"/>
      <c r="I198" s="111"/>
      <c r="J198" s="111"/>
      <c r="K198" s="112"/>
      <c r="L198" s="112"/>
    </row>
    <row r="199" spans="1:12" s="45" customFormat="1" ht="30" customHeight="1" x14ac:dyDescent="0.4">
      <c r="C199" s="113" t="s">
        <v>568</v>
      </c>
      <c r="D199" s="114"/>
      <c r="E199" s="115">
        <f>IFERROR(((D4+D55+D83+D130+D156+D174)/635),"Tidak Teridentifikasi")</f>
        <v>0.89921259842519685</v>
      </c>
      <c r="F199" s="108"/>
      <c r="G199" s="108"/>
      <c r="H199" s="111"/>
      <c r="I199" s="111"/>
      <c r="J199" s="111"/>
      <c r="K199" s="112"/>
      <c r="L199" s="112"/>
    </row>
    <row r="200" spans="1:12" s="45" customFormat="1" ht="30" customHeight="1" x14ac:dyDescent="0.4">
      <c r="C200" s="113" t="s">
        <v>569</v>
      </c>
      <c r="D200" s="116"/>
      <c r="E200" s="114" t="str">
        <f>IF(AND(E199&gt;=79.63%,E199&lt;=100%),"MANDIRI",
IF(AND(E199&gt;=69.35%,E199&lt;79.63%),"MAJU",
IF(AND(E199&gt;=57.39%,E199&lt;69.35%),"BERKEMBANG",
IF(AND(E199&gt;=49.49%,E199&lt;57.39%),"TERTINGGAL",
IF(AND(E199&gt;=0%,E199&lt;49.49%),"SANGAT TERTINGGAL","TIDAK TERIDENTIFIKASI")))))</f>
        <v>MANDIRI</v>
      </c>
      <c r="F200" s="108"/>
      <c r="G200" s="108"/>
      <c r="H200" s="111"/>
      <c r="I200" s="111"/>
      <c r="J200" s="111"/>
      <c r="K200" s="112"/>
      <c r="L200" s="112"/>
    </row>
  </sheetData>
  <sheetProtection algorithmName="SHA-512" hashValue="vF+v+xBak1O1sJisUP9UOrNGqLpYp9O+RCV//MfcfH+b97ejG3KvK2CujiqgXvjtBr+xXa6iL+vxbDitPrjHJA==" saltValue="6qpV+UyqMCbc4nGW73hsxA==" spinCount="100000" sheet="1" objects="1" scenarios="1"/>
  <mergeCells count="74">
    <mergeCell ref="A187:B187"/>
    <mergeCell ref="A191:B191"/>
    <mergeCell ref="A174:B174"/>
    <mergeCell ref="A175:B175"/>
    <mergeCell ref="A176:B176"/>
    <mergeCell ref="A178:B178"/>
    <mergeCell ref="A183:B183"/>
    <mergeCell ref="A186:B186"/>
    <mergeCell ref="A158:B158"/>
    <mergeCell ref="A161:B161"/>
    <mergeCell ref="A164:B164"/>
    <mergeCell ref="A165:B165"/>
    <mergeCell ref="A168:B168"/>
    <mergeCell ref="A171:B171"/>
    <mergeCell ref="A141:B141"/>
    <mergeCell ref="A143:B143"/>
    <mergeCell ref="A149:B149"/>
    <mergeCell ref="A150:B150"/>
    <mergeCell ref="A156:B156"/>
    <mergeCell ref="A157:B157"/>
    <mergeCell ref="A116:B116"/>
    <mergeCell ref="A123:B123"/>
    <mergeCell ref="A130:B130"/>
    <mergeCell ref="A131:B131"/>
    <mergeCell ref="A132:B132"/>
    <mergeCell ref="A137:B137"/>
    <mergeCell ref="A98:B98"/>
    <mergeCell ref="A101:B101"/>
    <mergeCell ref="A104:B104"/>
    <mergeCell ref="A107:B107"/>
    <mergeCell ref="A110:B110"/>
    <mergeCell ref="A113:B113"/>
    <mergeCell ref="A84:B84"/>
    <mergeCell ref="A85:B85"/>
    <mergeCell ref="A88:B88"/>
    <mergeCell ref="A92:B92"/>
    <mergeCell ref="A94:B94"/>
    <mergeCell ref="A97:B97"/>
    <mergeCell ref="A72:B72"/>
    <mergeCell ref="A75:B75"/>
    <mergeCell ref="A76:B76"/>
    <mergeCell ref="A79:B79"/>
    <mergeCell ref="A81:B81"/>
    <mergeCell ref="A83:B83"/>
    <mergeCell ref="A55:B55"/>
    <mergeCell ref="A56:B56"/>
    <mergeCell ref="A57:B57"/>
    <mergeCell ref="A60:B60"/>
    <mergeCell ref="A64:B64"/>
    <mergeCell ref="A66:B66"/>
    <mergeCell ref="A34:B34"/>
    <mergeCell ref="A39:B39"/>
    <mergeCell ref="A44:B44"/>
    <mergeCell ref="A47:B47"/>
    <mergeCell ref="A48:B48"/>
    <mergeCell ref="A53:B53"/>
    <mergeCell ref="A16:B16"/>
    <mergeCell ref="A19:B19"/>
    <mergeCell ref="A20:B20"/>
    <mergeCell ref="A22:B22"/>
    <mergeCell ref="A25:B25"/>
    <mergeCell ref="A29:B29"/>
    <mergeCell ref="H2:L2"/>
    <mergeCell ref="A4:B4"/>
    <mergeCell ref="A5:B5"/>
    <mergeCell ref="A6:B6"/>
    <mergeCell ref="A10:B10"/>
    <mergeCell ref="A13:B13"/>
    <mergeCell ref="A2:B3"/>
    <mergeCell ref="C2:C3"/>
    <mergeCell ref="D2:D3"/>
    <mergeCell ref="E2:E3"/>
    <mergeCell ref="F2:F3"/>
    <mergeCell ref="G2:G3"/>
  </mergeCells>
  <conditionalFormatting sqref="D4:F200">
    <cfRule type="expression" dxfId="0" priority="1">
      <formula>D4="Tidak Teridentifikasi"</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RUMUSAN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RIZKI NALDI</dc:creator>
  <cp:lastModifiedBy>RIZKI NALDI</cp:lastModifiedBy>
  <dcterms:created xsi:type="dcterms:W3CDTF">2026-08-12T01:32:11Z</dcterms:created>
  <dcterms:modified xsi:type="dcterms:W3CDTF">2026-08-12T01:32:26Z</dcterms:modified>
</cp:coreProperties>
</file>